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<sst xmlns="http://schemas.openxmlformats.org/spreadsheetml/2006/main" count="248" uniqueCount="174">
  <si>
    <t xml:space="preserve">BALCONY HYDRA v3 — BOM Complète Plug-and-Play (Zéro Soudure)</t>
  </si>
  <si>
    <t xml:space="preserve">20 pots · Solaire LiFePO4 · ESP32 · DS3231 RTC · Mode solaire · Mougins le Haut</t>
  </si>
  <si>
    <t xml:space="preserve">#</t>
  </si>
  <si>
    <t xml:space="preserve">Catégorie</t>
  </si>
  <si>
    <t xml:space="preserve">Composant</t>
  </si>
  <si>
    <t xml:space="preserve">Spécification</t>
  </si>
  <si>
    <t xml:space="preserve">Qté</t>
  </si>
  <si>
    <t xml:space="preserve">P.U. €</t>
  </si>
  <si>
    <t xml:space="preserve">Total €</t>
  </si>
  <si>
    <t xml:space="preserve">Source / Notes</t>
  </si>
  <si>
    <t xml:space="preserve">⚡ ÉNERGIE &amp; CHARGE</t>
  </si>
  <si>
    <t xml:space="preserve">ÉNERGIE &amp; CHARGE</t>
  </si>
  <si>
    <t xml:space="preserve">Panneau solaire mono 20W 12V</t>
  </si>
  <si>
    <t xml:space="preserve">Vmp~18V, câble MC4, fixation balustrade</t>
  </si>
  <si>
    <t xml:space="preserve">AliExpress/Amazon</t>
  </si>
  <si>
    <t xml:space="preserve">Batterie LiFePO4 12V 6Ah</t>
  </si>
  <si>
    <t xml:space="preserve">12.8V 76.8Wh, BMS intégré, borniers à vis</t>
  </si>
  <si>
    <t xml:space="preserve">TalentCell / Power Queen</t>
  </si>
  <si>
    <t xml:space="preserve">Contrôleur MPPT 10A 12V</t>
  </si>
  <si>
    <t xml:space="preserve">Mode LiFePO4, LCD, borniers à vis intégrés</t>
  </si>
  <si>
    <t xml:space="preserve">PowMr / Bateria Power</t>
  </si>
  <si>
    <t xml:space="preserve">Câble MC4 + rallonge</t>
  </si>
  <si>
    <t xml:space="preserve">2×1m, section 2.5mm², MC4 pré-serti</t>
  </si>
  <si>
    <t xml:space="preserve">Amazon</t>
  </si>
  <si>
    <t xml:space="preserve">Fusible thermique 72°C</t>
  </si>
  <si>
    <t xml:space="preserve">Auto-coupure irréversible si T°&gt;72°C, en série câble + batterie</t>
  </si>
  <si>
    <t xml:space="preserve">AliExpress (thermal fuse 72°C 10A)</t>
  </si>
  <si>
    <t xml:space="preserve">Sous-total ÉNERGIE &amp; CHARGE</t>
  </si>
  <si>
    <t xml:space="preserve">🔌 MCU &amp; ÉLECTRONIQUE</t>
  </si>
  <si>
    <t xml:space="preserve">MCU &amp; ÉLECTRONIQUE</t>
  </si>
  <si>
    <t xml:space="preserve">ESP32 DevKit WROOM-32 (30 pins)</t>
  </si>
  <si>
    <t xml:space="preserve">Dual-core, WiFi+BLE, USB-C</t>
  </si>
  <si>
    <t xml:space="preserve">AliExpress / ELEGOO</t>
  </si>
  <si>
    <t xml:space="preserve">Breakout board borniers à vis ESP32</t>
  </si>
  <si>
    <t xml:space="preserve">30 pins, borniers 3.5/5mm, zéro soudure</t>
  </si>
  <si>
    <t xml:space="preserve">CZH-Labs / Amazon</t>
  </si>
  <si>
    <t xml:space="preserve">Multiplexeur CD74HC4067 breakout</t>
  </si>
  <si>
    <t xml:space="preserve">16ch, broches header pré-soudées</t>
  </si>
  <si>
    <t xml:space="preserve">AliExpress</t>
  </si>
  <si>
    <t xml:space="preserve">Module MOSFET D4184 pré-câblé</t>
  </si>
  <si>
    <t xml:space="preserve">MOSFET+diode+résistance, borniers à vis</t>
  </si>
  <si>
    <t xml:space="preserve">Module relais 5V 1 canal</t>
  </si>
  <si>
    <t xml:space="preserve">Opto-isolé, borniers, relais sécurité pompe</t>
  </si>
  <si>
    <t xml:space="preserve">Module LM2596 step-down DC-DC</t>
  </si>
  <si>
    <t xml:space="preserve">12V→5V, borniers à vis entrée/sortie</t>
  </si>
  <si>
    <t xml:space="preserve">LED RGB 5mm common cathode</t>
  </si>
  <si>
    <t xml:space="preserve">Rouge+Vert+Bleu, 3.3V compatible, diffuse</t>
  </si>
  <si>
    <t xml:space="preserve">AliExpress (lot 10)</t>
  </si>
  <si>
    <t xml:space="preserve">Résistances 220Ω (LED RGB)</t>
  </si>
  <si>
    <t xml:space="preserve">3× traversantes, limitation courant R/G/B</t>
  </si>
  <si>
    <t xml:space="preserve">AliExpress (lot 100)</t>
  </si>
  <si>
    <t xml:space="preserve">Résistance 10kΩ (pull-down MOSFET)</t>
  </si>
  <si>
    <t xml:space="preserve">Traversante, empêche pompe ON au boot</t>
  </si>
  <si>
    <t xml:space="preserve">Résistance 4.7kΩ (pull-up I2C)</t>
  </si>
  <si>
    <t xml:space="preserve">Traversante, SDA + SCL vers 3.3V</t>
  </si>
  <si>
    <t xml:space="preserve">Condensateur 100µF 25V</t>
  </si>
  <si>
    <t xml:space="preserve">Électrolytique, filtrage entrée LM2596</t>
  </si>
  <si>
    <t xml:space="preserve">Fusible 5A + porte-fusible inline</t>
  </si>
  <si>
    <t xml:space="preserve">Verre 5×20mm, sur câble sortie batterie</t>
  </si>
  <si>
    <t xml:space="preserve">AliExpress / Leroy Merlin</t>
  </si>
  <si>
    <t xml:space="preserve">Fusible 3A + porte-fusible inline</t>
  </si>
  <si>
    <t xml:space="preserve">Verre 5×20mm, sur ligne 12V pompe</t>
  </si>
  <si>
    <t xml:space="preserve">Sous-total MCU &amp; ÉLECTRONIQUE</t>
  </si>
  <si>
    <t xml:space="preserve">📡 CAPTEURS</t>
  </si>
  <si>
    <t xml:space="preserve">CAPTEURS</t>
  </si>
  <si>
    <t xml:space="preserve">Capteur humidité capacitif v2.0</t>
  </si>
  <si>
    <t xml:space="preserve">Analogique 3.3-5V, câble JST 3 pins</t>
  </si>
  <si>
    <t xml:space="preserve">AliExpress (lot 10 ~8€)</t>
  </si>
  <si>
    <t xml:space="preserve">Capteur US étanche JSN-SR04T</t>
  </si>
  <si>
    <t xml:space="preserve">IP67, sonde déportée, câble intégré</t>
  </si>
  <si>
    <t xml:space="preserve">Capteur BME280 breakout I2C</t>
  </si>
  <si>
    <t xml:space="preserve">T°/HR/P, header pré-soudé, I2C 0x76</t>
  </si>
  <si>
    <t xml:space="preserve">Module RTC DS3231 + pile CR2032</t>
  </si>
  <si>
    <t xml:space="preserve">I2C 0x68, ±2ppm, horloge indépendante</t>
  </si>
  <si>
    <t xml:space="preserve">Capteur INA219 breakout I2C</t>
  </si>
  <si>
    <t xml:space="preserve">Courant 0-3.2A, shunt intégré, I2C 0x40</t>
  </si>
  <si>
    <t xml:space="preserve">Sous-total CAPTEURS</t>
  </si>
  <si>
    <t xml:space="preserve">💧 HYDRAULIQUE</t>
  </si>
  <si>
    <t xml:space="preserve">HYDRAULIQUE</t>
  </si>
  <si>
    <t xml:space="preserve">Réservoirs 25L (EXISTANTS)</t>
  </si>
  <si>
    <t xml:space="preserve">Jerrycan alimentaire, déjà approvisionnés</t>
  </si>
  <si>
    <t xml:space="preserve">EXISTANT</t>
  </si>
  <si>
    <t xml:space="preserve">Pompe diaphragme 12V</t>
  </si>
  <si>
    <t xml:space="preserve">Auto-amorçante, 2-3 L/min, fils pré-sertis</t>
  </si>
  <si>
    <t xml:space="preserve">AliExpress / Amazon</t>
  </si>
  <si>
    <t xml:space="preserve">Passe-cloison PVC 1/2" + joints EPDM</t>
  </si>
  <si>
    <t xml:space="preserve">Percage bidon, étanchéité inter-bidons</t>
  </si>
  <si>
    <t xml:space="preserve">Leroy Merlin</t>
  </si>
  <si>
    <t xml:space="preserve">Tube tressé renforcé 1/2"</t>
  </si>
  <si>
    <t xml:space="preserve">PVC tressé, 30cm inter-bidon</t>
  </si>
  <si>
    <t xml:space="preserve">Téflon PTFE + colliers inox 1/2"</t>
  </si>
  <si>
    <t xml:space="preserve">Étanchéité raccords</t>
  </si>
  <si>
    <t xml:space="preserve">Bricomarché</t>
  </si>
  <si>
    <t xml:space="preserve">Tube silicone/PVC 4/6mm</t>
  </si>
  <si>
    <t xml:space="preserve">Rouleau 20m, alimentaire</t>
  </si>
  <si>
    <t xml:space="preserve">Goutteurs réglables 0-70 L/h</t>
  </si>
  <si>
    <t xml:space="preserve">Embase + pic, réglage individuel par plante</t>
  </si>
  <si>
    <t xml:space="preserve">AliExpress (lot 20 ~8€)</t>
  </si>
  <si>
    <t xml:space="preserve">Connecteurs T / Y 4mm</t>
  </si>
  <si>
    <t xml:space="preserve">Dérivation réseau tubes</t>
  </si>
  <si>
    <t xml:space="preserve">AliExpress (lot 50 ~5€)</t>
  </si>
  <si>
    <t xml:space="preserve">Colliers de serrage 6mm inox</t>
  </si>
  <si>
    <t xml:space="preserve">Fixation tubes sur goutteurs</t>
  </si>
  <si>
    <t xml:space="preserve">AliExpress (lot 100 ~3€)</t>
  </si>
  <si>
    <t xml:space="preserve">Sous-total HYDRAULIQUE</t>
  </si>
  <si>
    <t xml:space="preserve">🔧 CÂBLAGE PLUG-AND-PLAY</t>
  </si>
  <si>
    <t xml:space="preserve">CÂBLAGE PLUG-AND-PLAY</t>
  </si>
  <si>
    <t xml:space="preserve">Wago 221-412 (2 entrées)</t>
  </si>
  <si>
    <t xml:space="preserve">Lever-nut, connexion rapide, 12-24 AWG</t>
  </si>
  <si>
    <t xml:space="preserve">Leroy Merlin / Amazon</t>
  </si>
  <si>
    <t xml:space="preserve">Wago 221-413 (3 entrées)</t>
  </si>
  <si>
    <t xml:space="preserve">Lever-nut, jonction 3.3V/GND/Signal</t>
  </si>
  <si>
    <t xml:space="preserve">Wago 221-415 (5 entrées)</t>
  </si>
  <si>
    <t xml:space="preserve">Lever-nut, distribution rails alimentation</t>
  </si>
  <si>
    <t xml:space="preserve">Câble silicone 22AWG rouge+noir</t>
  </si>
  <si>
    <t xml:space="preserve">5m chaque, souple, haute T°</t>
  </si>
  <si>
    <t xml:space="preserve">Câble silicone 18AWG inter-boîtiers</t>
  </si>
  <si>
    <t xml:space="preserve">1.5m rouge+noir, puissance 12V</t>
  </si>
  <si>
    <t xml:space="preserve">Câbles Dupont F-F 20cm</t>
  </si>
  <si>
    <t xml:space="preserve">Pour MUX ↔ breakout ESP32</t>
  </si>
  <si>
    <t xml:space="preserve">AliExpress (pack 40)</t>
  </si>
  <si>
    <t xml:space="preserve">Rallonge capteur JST-XH 3 pins</t>
  </si>
  <si>
    <t xml:space="preserve">1-2m, pour capteurs humidité déportés</t>
  </si>
  <si>
    <t xml:space="preserve">Gaine thermorétractable (assortiment)</t>
  </si>
  <si>
    <t xml:space="preserve">2-10mm, protection connecteurs</t>
  </si>
  <si>
    <t xml:space="preserve">Serre-câbles nylon 100mm</t>
  </si>
  <si>
    <t xml:space="preserve">Gestion de câbles propre</t>
  </si>
  <si>
    <t xml:space="preserve">Bricomarché (lot 100)</t>
  </si>
  <si>
    <t xml:space="preserve">Sous-total CÂBLAGE PLUG-AND-PLAY</t>
  </si>
  <si>
    <t xml:space="preserve">📦 BOÎTIER 1 — ÉLECTRONIQUE</t>
  </si>
  <si>
    <t xml:space="preserve">BOÎTIER 1 — ÉLECTRONIQ</t>
  </si>
  <si>
    <t xml:space="preserve">Boîtier IP65 ABS BLANC</t>
  </si>
  <si>
    <t xml:space="preserve">200×150×85mm, charnière, vis inox</t>
  </si>
  <si>
    <t xml:space="preserve">AliExpress / Amazon — BLANC</t>
  </si>
  <si>
    <t xml:space="preserve">Presse-étoupe PG7</t>
  </si>
  <si>
    <t xml:space="preserve">Câbles capteurs (3-6mm), IP68</t>
  </si>
  <si>
    <t xml:space="preserve">Presse-étoupe PG9</t>
  </si>
  <si>
    <t xml:space="preserve">Câbles puissance (6-8mm), IP68</t>
  </si>
  <si>
    <t xml:space="preserve">Presse-étoupe PG11</t>
  </si>
  <si>
    <t xml:space="preserve">Câble pompe + inter-boîtiers, IP68</t>
  </si>
  <si>
    <t xml:space="preserve">Bouton poussoir étanche IP67</t>
  </si>
  <si>
    <t xml:space="preserve">Momentané NO, métal 12mm, câble pré-serti</t>
  </si>
  <si>
    <t xml:space="preserve">Rail DIN 35mm (15cm)</t>
  </si>
  <si>
    <t xml:space="preserve">Montage interne, clip Wago</t>
  </si>
  <si>
    <t xml:space="preserve">Plaque support perforée + vis M3</t>
  </si>
  <si>
    <t xml:space="preserve">Fixation breakout ESP32 + modules</t>
  </si>
  <si>
    <t xml:space="preserve">Entretoises nylon M3</t>
  </si>
  <si>
    <t xml:space="preserve">Isolation PCB, kit assortiment</t>
  </si>
  <si>
    <t xml:space="preserve">Sous-total BOÎTIER 1 — ÉLECTRONIQUE</t>
  </si>
  <si>
    <t xml:space="preserve">📦 BOÎTIER 2 — ÉNERGIE (ventilé)</t>
  </si>
  <si>
    <t xml:space="preserve">BOÎTIER 2 — ÉNERGIE (v</t>
  </si>
  <si>
    <t xml:space="preserve">Boîtier IP65 ABS BLANC ventilé</t>
  </si>
  <si>
    <t xml:space="preserve">250×200×120mm, percer pour grilles</t>
  </si>
  <si>
    <t xml:space="preserve">Grille ventilation inox + moustiquaire</t>
  </si>
  <si>
    <t xml:space="preserve">40×20mm, inox 304, convection naturelle</t>
  </si>
  <si>
    <t xml:space="preserve">Isolant réflectif aluminium bulle</t>
  </si>
  <si>
    <t xml:space="preserve">Découpe couvercle, renvoie rayonnement IR</t>
  </si>
  <si>
    <t xml:space="preserve">Leroy Merlin (rouleau camping-car)</t>
  </si>
  <si>
    <t xml:space="preserve">Gel silicone IP68 (Wago Gelbox)</t>
  </si>
  <si>
    <t xml:space="preserve">Protection Wago extérieures si exposées</t>
  </si>
  <si>
    <t xml:space="preserve">Amazon / Leroy Merlin</t>
  </si>
  <si>
    <t xml:space="preserve">Sous-total BOÎTIER 2 — ÉNERGIE (ventilé)</t>
  </si>
  <si>
    <t xml:space="preserve">TOTAL BOM (hors réservoirs existants)</t>
  </si>
  <si>
    <t xml:space="preserve">+ Marge composants rechange (15%)</t>
  </si>
  <si>
    <t xml:space="preserve">BUDGET TOTAL PROJET</t>
  </si>
  <si>
    <t xml:space="preserve">NOTES:</t>
  </si>
  <si>
    <t xml:space="preserve">• PLUG-AND-PLAY : Aucune soudure. Borniers à vis, Wago 221, Dupont, JST.</t>
  </si>
  <si>
    <t xml:space="preserve">• DEUX BOÎTIERS : Électronique (mur) + Énergie (sol, derrière bidons, ventilé).</t>
  </si>
  <si>
    <t xml:space="preserve">• SÉCURITÉ : Composants en ROUGE = sécurité. Fusible thermique 72°C = irréversible.</t>
  </si>
  <si>
    <t xml:space="preserve">• EXISTANT : Composants en VERT ITALIQUE = déjà approvisionnés (0€).</t>
  </si>
  <si>
    <t xml:space="preserve">• DS3231 : Horloge avec pile CR2032, survit à toute coupure. NTP sync quand WiFi dispo.</t>
  </si>
  <si>
    <t xml:space="preserve">• SOLAIRE : Calcul lever/coucher embarqué (Mougins le Haut, 43.61°N 6.99°E).</t>
  </si>
  <si>
    <t xml:space="preserve">• LiFePO4 safe thermiquement 60°C — boîtier BLANC ventilé + isolant alu obligatoire.</t>
  </si>
  <si>
    <t xml:space="preserve">• Prix AliExpress/Amazon FR/Leroy Merlin, avril 2026. Prévoir 2-4 sem livraison AliExpress.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</si>
</sst>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0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9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7F8C8D"/>
      <name val="Arial"/>
      <family val="0"/>
      <charset val="1"/>
    </font>
    <font>
      <sz val="9"/>
      <color rgb="FFE74C3C"/>
      <name val="Arial"/>
      <family val="0"/>
      <charset val="1"/>
    </font>
    <font>
      <i val="true"/>
      <sz val="9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003366"/>
      </patternFill>
    </fill>
    <fill>
      <patternFill patternType="solid">
        <fgColor rgb="FFD5E8D4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2F2F2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 t="s">
        <v>11</v>
      </c>
      <c r="C6" s="6" t="s">
        <v>12</v>
      </c>
      <c r="D6" s="7" t="s">
        <v>13</v>
      </c>
      <c r="E6" s="5" t="n">
        <v>1</v>
      </c>
      <c r="F6" s="8" t="n">
        <v>25</v>
      </c>
      <c r="G6" s="9" t="n">
        <f aca="false">E6*F6</f>
        <v>25</v>
      </c>
      <c r="H6" s="10" t="s">
        <v>14</v>
      </c>
    </row>
    <row r="7" customFormat="false" ht="15" hidden="false" customHeight="false" outlineLevel="0" collapsed="false">
      <c r="A7" s="5" t="n">
        <v>2</v>
      </c>
      <c r="B7" s="6" t="s">
        <v>11</v>
      </c>
      <c r="C7" s="6" t="s">
        <v>15</v>
      </c>
      <c r="D7" s="7" t="s">
        <v>16</v>
      </c>
      <c r="E7" s="5" t="n">
        <v>1</v>
      </c>
      <c r="F7" s="8" t="n">
        <v>30</v>
      </c>
      <c r="G7" s="9" t="n">
        <f aca="false">E7*F7</f>
        <v>30</v>
      </c>
      <c r="H7" s="10" t="s">
        <v>17</v>
      </c>
    </row>
    <row r="8" customFormat="false" ht="15" hidden="false" customHeight="false" outlineLevel="0" collapsed="false">
      <c r="A8" s="5" t="n">
        <v>3</v>
      </c>
      <c r="B8" s="6" t="s">
        <v>11</v>
      </c>
      <c r="C8" s="6" t="s">
        <v>18</v>
      </c>
      <c r="D8" s="7" t="s">
        <v>19</v>
      </c>
      <c r="E8" s="5" t="n">
        <v>1</v>
      </c>
      <c r="F8" s="8" t="n">
        <v>18</v>
      </c>
      <c r="G8" s="9" t="n">
        <f aca="false">E8*F8</f>
        <v>18</v>
      </c>
      <c r="H8" s="10" t="s">
        <v>20</v>
      </c>
    </row>
    <row r="9" customFormat="false" ht="15" hidden="false" customHeight="false" outlineLevel="0" collapsed="false">
      <c r="A9" s="5" t="n">
        <v>4</v>
      </c>
      <c r="B9" s="6" t="s">
        <v>11</v>
      </c>
      <c r="C9" s="6" t="s">
        <v>21</v>
      </c>
      <c r="D9" s="7" t="s">
        <v>22</v>
      </c>
      <c r="E9" s="5" t="n">
        <v>1</v>
      </c>
      <c r="F9" s="8" t="n">
        <v>5</v>
      </c>
      <c r="G9" s="9" t="n">
        <f aca="false">E9*F9</f>
        <v>5</v>
      </c>
      <c r="H9" s="10" t="s">
        <v>23</v>
      </c>
    </row>
    <row r="10" customFormat="false" ht="19.4" hidden="false" customHeight="false" outlineLevel="0" collapsed="false">
      <c r="A10" s="5" t="n">
        <v>5</v>
      </c>
      <c r="B10" s="6" t="s">
        <v>11</v>
      </c>
      <c r="C10" s="11" t="s">
        <v>24</v>
      </c>
      <c r="D10" s="7" t="s">
        <v>25</v>
      </c>
      <c r="E10" s="5" t="n">
        <v>1</v>
      </c>
      <c r="F10" s="8" t="n">
        <v>1.5</v>
      </c>
      <c r="G10" s="9" t="n">
        <f aca="false">E10*F10</f>
        <v>1.5</v>
      </c>
      <c r="H10" s="10" t="s">
        <v>26</v>
      </c>
    </row>
    <row r="11" customFormat="false" ht="15" hidden="false" customHeight="false" outlineLevel="0" collapsed="false">
      <c r="A11" s="12" t="s">
        <v>27</v>
      </c>
      <c r="B11" s="12"/>
      <c r="C11" s="12"/>
      <c r="D11" s="12"/>
      <c r="E11" s="12"/>
      <c r="F11" s="12"/>
      <c r="G11" s="13" t="n">
        <f aca="false">SUM(G6:G10)</f>
        <v>79.5</v>
      </c>
      <c r="H11" s="14"/>
    </row>
    <row r="12" customFormat="false" ht="15" hidden="false" customHeight="false" outlineLevel="0" collapsed="false">
      <c r="A12" s="4" t="s">
        <v>28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" t="n">
        <v>6</v>
      </c>
      <c r="B13" s="6" t="s">
        <v>29</v>
      </c>
      <c r="C13" s="6" t="s">
        <v>30</v>
      </c>
      <c r="D13" s="7" t="s">
        <v>31</v>
      </c>
      <c r="E13" s="5" t="n">
        <v>1</v>
      </c>
      <c r="F13" s="8" t="n">
        <v>5</v>
      </c>
      <c r="G13" s="9" t="n">
        <f aca="false">E13*F13</f>
        <v>5</v>
      </c>
      <c r="H13" s="10" t="s">
        <v>32</v>
      </c>
    </row>
    <row r="14" customFormat="false" ht="15" hidden="false" customHeight="false" outlineLevel="0" collapsed="false">
      <c r="A14" s="5" t="n">
        <v>7</v>
      </c>
      <c r="B14" s="6" t="s">
        <v>29</v>
      </c>
      <c r="C14" s="6" t="s">
        <v>33</v>
      </c>
      <c r="D14" s="7" t="s">
        <v>34</v>
      </c>
      <c r="E14" s="5" t="n">
        <v>1</v>
      </c>
      <c r="F14" s="8" t="n">
        <v>8</v>
      </c>
      <c r="G14" s="9" t="n">
        <f aca="false">E14*F14</f>
        <v>8</v>
      </c>
      <c r="H14" s="10" t="s">
        <v>35</v>
      </c>
    </row>
    <row r="15" customFormat="false" ht="15" hidden="false" customHeight="false" outlineLevel="0" collapsed="false">
      <c r="A15" s="5" t="n">
        <v>8</v>
      </c>
      <c r="B15" s="6" t="s">
        <v>29</v>
      </c>
      <c r="C15" s="6" t="s">
        <v>36</v>
      </c>
      <c r="D15" s="7" t="s">
        <v>37</v>
      </c>
      <c r="E15" s="5" t="n">
        <v>2</v>
      </c>
      <c r="F15" s="8" t="n">
        <v>2.5</v>
      </c>
      <c r="G15" s="9" t="n">
        <f aca="false">E15*F15</f>
        <v>5</v>
      </c>
      <c r="H15" s="10" t="s">
        <v>38</v>
      </c>
    </row>
    <row r="16" customFormat="false" ht="15" hidden="false" customHeight="false" outlineLevel="0" collapsed="false">
      <c r="A16" s="5" t="n">
        <v>9</v>
      </c>
      <c r="B16" s="6" t="s">
        <v>29</v>
      </c>
      <c r="C16" s="6" t="s">
        <v>39</v>
      </c>
      <c r="D16" s="7" t="s">
        <v>40</v>
      </c>
      <c r="E16" s="5" t="n">
        <v>1</v>
      </c>
      <c r="F16" s="8" t="n">
        <v>3.5</v>
      </c>
      <c r="G16" s="9" t="n">
        <f aca="false">E16*F16</f>
        <v>3.5</v>
      </c>
      <c r="H16" s="10" t="s">
        <v>38</v>
      </c>
    </row>
    <row r="17" customFormat="false" ht="15" hidden="false" customHeight="false" outlineLevel="0" collapsed="false">
      <c r="A17" s="5" t="n">
        <v>10</v>
      </c>
      <c r="B17" s="6" t="s">
        <v>29</v>
      </c>
      <c r="C17" s="6" t="s">
        <v>41</v>
      </c>
      <c r="D17" s="7" t="s">
        <v>42</v>
      </c>
      <c r="E17" s="5" t="n">
        <v>1</v>
      </c>
      <c r="F17" s="8" t="n">
        <v>2</v>
      </c>
      <c r="G17" s="9" t="n">
        <f aca="false">E17*F17</f>
        <v>2</v>
      </c>
      <c r="H17" s="10" t="s">
        <v>38</v>
      </c>
    </row>
    <row r="18" customFormat="false" ht="15" hidden="false" customHeight="false" outlineLevel="0" collapsed="false">
      <c r="A18" s="5" t="n">
        <v>11</v>
      </c>
      <c r="B18" s="6" t="s">
        <v>29</v>
      </c>
      <c r="C18" s="6" t="s">
        <v>43</v>
      </c>
      <c r="D18" s="7" t="s">
        <v>44</v>
      </c>
      <c r="E18" s="5" t="n">
        <v>1</v>
      </c>
      <c r="F18" s="8" t="n">
        <v>2</v>
      </c>
      <c r="G18" s="9" t="n">
        <f aca="false">E18*F18</f>
        <v>2</v>
      </c>
      <c r="H18" s="10" t="s">
        <v>38</v>
      </c>
    </row>
    <row r="19" customFormat="false" ht="15" hidden="false" customHeight="false" outlineLevel="0" collapsed="false">
      <c r="A19" s="5" t="n">
        <v>12</v>
      </c>
      <c r="B19" s="6" t="s">
        <v>29</v>
      </c>
      <c r="C19" s="6" t="s">
        <v>45</v>
      </c>
      <c r="D19" s="7" t="s">
        <v>46</v>
      </c>
      <c r="E19" s="5" t="n">
        <v>1</v>
      </c>
      <c r="F19" s="8" t="n">
        <v>0.3</v>
      </c>
      <c r="G19" s="9" t="n">
        <f aca="false">E19*F19</f>
        <v>0.3</v>
      </c>
      <c r="H19" s="10" t="s">
        <v>47</v>
      </c>
    </row>
    <row r="20" customFormat="false" ht="15" hidden="false" customHeight="false" outlineLevel="0" collapsed="false">
      <c r="A20" s="5" t="n">
        <v>13</v>
      </c>
      <c r="B20" s="6" t="s">
        <v>29</v>
      </c>
      <c r="C20" s="6" t="s">
        <v>48</v>
      </c>
      <c r="D20" s="7" t="s">
        <v>49</v>
      </c>
      <c r="E20" s="5" t="n">
        <v>3</v>
      </c>
      <c r="F20" s="8" t="n">
        <v>0.1</v>
      </c>
      <c r="G20" s="9" t="n">
        <f aca="false">E20*F20</f>
        <v>0.3</v>
      </c>
      <c r="H20" s="10" t="s">
        <v>50</v>
      </c>
    </row>
    <row r="21" customFormat="false" ht="15" hidden="false" customHeight="false" outlineLevel="0" collapsed="false">
      <c r="A21" s="5" t="n">
        <v>14</v>
      </c>
      <c r="B21" s="6" t="s">
        <v>29</v>
      </c>
      <c r="C21" s="6" t="s">
        <v>51</v>
      </c>
      <c r="D21" s="7" t="s">
        <v>52</v>
      </c>
      <c r="E21" s="5" t="n">
        <v>2</v>
      </c>
      <c r="F21" s="8" t="n">
        <v>0.1</v>
      </c>
      <c r="G21" s="9" t="n">
        <f aca="false">E21*F21</f>
        <v>0.2</v>
      </c>
      <c r="H21" s="10" t="s">
        <v>50</v>
      </c>
    </row>
    <row r="22" customFormat="false" ht="15" hidden="false" customHeight="false" outlineLevel="0" collapsed="false">
      <c r="A22" s="5" t="n">
        <v>15</v>
      </c>
      <c r="B22" s="6" t="s">
        <v>29</v>
      </c>
      <c r="C22" s="6" t="s">
        <v>53</v>
      </c>
      <c r="D22" s="7" t="s">
        <v>54</v>
      </c>
      <c r="E22" s="5" t="n">
        <v>2</v>
      </c>
      <c r="F22" s="8" t="n">
        <v>0.1</v>
      </c>
      <c r="G22" s="9" t="n">
        <f aca="false">E22*F22</f>
        <v>0.2</v>
      </c>
      <c r="H22" s="10" t="s">
        <v>50</v>
      </c>
    </row>
    <row r="23" customFormat="false" ht="15" hidden="false" customHeight="false" outlineLevel="0" collapsed="false">
      <c r="A23" s="5" t="n">
        <v>16</v>
      </c>
      <c r="B23" s="6" t="s">
        <v>29</v>
      </c>
      <c r="C23" s="6" t="s">
        <v>55</v>
      </c>
      <c r="D23" s="7" t="s">
        <v>56</v>
      </c>
      <c r="E23" s="5" t="n">
        <v>2</v>
      </c>
      <c r="F23" s="8" t="n">
        <v>0.2</v>
      </c>
      <c r="G23" s="9" t="n">
        <f aca="false">E23*F23</f>
        <v>0.4</v>
      </c>
      <c r="H23" s="10" t="s">
        <v>38</v>
      </c>
    </row>
    <row r="24" customFormat="false" ht="15" hidden="false" customHeight="false" outlineLevel="0" collapsed="false">
      <c r="A24" s="5" t="n">
        <v>17</v>
      </c>
      <c r="B24" s="6" t="s">
        <v>29</v>
      </c>
      <c r="C24" s="11" t="s">
        <v>57</v>
      </c>
      <c r="D24" s="7" t="s">
        <v>58</v>
      </c>
      <c r="E24" s="5" t="n">
        <v>1</v>
      </c>
      <c r="F24" s="8" t="n">
        <v>2</v>
      </c>
      <c r="G24" s="9" t="n">
        <f aca="false">E24*F24</f>
        <v>2</v>
      </c>
      <c r="H24" s="10" t="s">
        <v>59</v>
      </c>
    </row>
    <row r="25" customFormat="false" ht="15" hidden="false" customHeight="false" outlineLevel="0" collapsed="false">
      <c r="A25" s="5" t="n">
        <v>18</v>
      </c>
      <c r="B25" s="6" t="s">
        <v>29</v>
      </c>
      <c r="C25" s="11" t="s">
        <v>60</v>
      </c>
      <c r="D25" s="7" t="s">
        <v>61</v>
      </c>
      <c r="E25" s="5" t="n">
        <v>1</v>
      </c>
      <c r="F25" s="8" t="n">
        <v>2</v>
      </c>
      <c r="G25" s="9" t="n">
        <f aca="false">E25*F25</f>
        <v>2</v>
      </c>
      <c r="H25" s="10" t="s">
        <v>59</v>
      </c>
    </row>
    <row r="26" customFormat="false" ht="15" hidden="false" customHeight="false" outlineLevel="0" collapsed="false">
      <c r="A26" s="12" t="s">
        <v>62</v>
      </c>
      <c r="B26" s="12"/>
      <c r="C26" s="12"/>
      <c r="D26" s="12"/>
      <c r="E26" s="12"/>
      <c r="F26" s="12"/>
      <c r="G26" s="13" t="n">
        <f aca="false">SUM(G13:G25)</f>
        <v>30.9</v>
      </c>
      <c r="H26" s="14"/>
    </row>
    <row r="27" customFormat="false" ht="15" hidden="false" customHeight="false" outlineLevel="0" collapsed="false">
      <c r="A27" s="4" t="s">
        <v>63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5" t="n">
        <v>19</v>
      </c>
      <c r="B28" s="6" t="s">
        <v>64</v>
      </c>
      <c r="C28" s="6" t="s">
        <v>65</v>
      </c>
      <c r="D28" s="7" t="s">
        <v>66</v>
      </c>
      <c r="E28" s="5" t="n">
        <v>20</v>
      </c>
      <c r="F28" s="8" t="n">
        <v>0.8</v>
      </c>
      <c r="G28" s="9" t="n">
        <f aca="false">E28*F28</f>
        <v>16</v>
      </c>
      <c r="H28" s="10" t="s">
        <v>67</v>
      </c>
    </row>
    <row r="29" customFormat="false" ht="15" hidden="false" customHeight="false" outlineLevel="0" collapsed="false">
      <c r="A29" s="5" t="n">
        <v>20</v>
      </c>
      <c r="B29" s="6" t="s">
        <v>64</v>
      </c>
      <c r="C29" s="6" t="s">
        <v>68</v>
      </c>
      <c r="D29" s="7" t="s">
        <v>69</v>
      </c>
      <c r="E29" s="5" t="n">
        <v>2</v>
      </c>
      <c r="F29" s="8" t="n">
        <v>4.5</v>
      </c>
      <c r="G29" s="9" t="n">
        <f aca="false">E29*F29</f>
        <v>9</v>
      </c>
      <c r="H29" s="10" t="s">
        <v>38</v>
      </c>
    </row>
    <row r="30" customFormat="false" ht="15" hidden="false" customHeight="false" outlineLevel="0" collapsed="false">
      <c r="A30" s="5" t="n">
        <v>21</v>
      </c>
      <c r="B30" s="6" t="s">
        <v>64</v>
      </c>
      <c r="C30" s="6" t="s">
        <v>70</v>
      </c>
      <c r="D30" s="7" t="s">
        <v>71</v>
      </c>
      <c r="E30" s="5" t="n">
        <v>1</v>
      </c>
      <c r="F30" s="8" t="n">
        <v>2.5</v>
      </c>
      <c r="G30" s="9" t="n">
        <f aca="false">E30*F30</f>
        <v>2.5</v>
      </c>
      <c r="H30" s="10" t="s">
        <v>38</v>
      </c>
    </row>
    <row r="31" customFormat="false" ht="15" hidden="false" customHeight="false" outlineLevel="0" collapsed="false">
      <c r="A31" s="5" t="n">
        <v>22</v>
      </c>
      <c r="B31" s="6" t="s">
        <v>64</v>
      </c>
      <c r="C31" s="6" t="s">
        <v>72</v>
      </c>
      <c r="D31" s="7" t="s">
        <v>73</v>
      </c>
      <c r="E31" s="5" t="n">
        <v>1</v>
      </c>
      <c r="F31" s="8" t="n">
        <v>2.5</v>
      </c>
      <c r="G31" s="9" t="n">
        <f aca="false">E31*F31</f>
        <v>2.5</v>
      </c>
      <c r="H31" s="10" t="s">
        <v>38</v>
      </c>
    </row>
    <row r="32" customFormat="false" ht="15" hidden="false" customHeight="false" outlineLevel="0" collapsed="false">
      <c r="A32" s="5" t="n">
        <v>23</v>
      </c>
      <c r="B32" s="6" t="s">
        <v>64</v>
      </c>
      <c r="C32" s="6" t="s">
        <v>74</v>
      </c>
      <c r="D32" s="7" t="s">
        <v>75</v>
      </c>
      <c r="E32" s="5" t="n">
        <v>1</v>
      </c>
      <c r="F32" s="8" t="n">
        <v>2</v>
      </c>
      <c r="G32" s="9" t="n">
        <f aca="false">E32*F32</f>
        <v>2</v>
      </c>
      <c r="H32" s="10" t="s">
        <v>38</v>
      </c>
    </row>
    <row r="33" customFormat="false" ht="15" hidden="false" customHeight="false" outlineLevel="0" collapsed="false">
      <c r="A33" s="12" t="s">
        <v>76</v>
      </c>
      <c r="B33" s="12"/>
      <c r="C33" s="12"/>
      <c r="D33" s="12"/>
      <c r="E33" s="12"/>
      <c r="F33" s="12"/>
      <c r="G33" s="13" t="n">
        <f aca="false">SUM(G28:G32)</f>
        <v>32</v>
      </c>
      <c r="H33" s="14"/>
    </row>
    <row r="34" customFormat="false" ht="15" hidden="false" customHeight="false" outlineLevel="0" collapsed="false">
      <c r="A34" s="4" t="s">
        <v>77</v>
      </c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5" t="n">
        <v>24</v>
      </c>
      <c r="B35" s="6" t="s">
        <v>78</v>
      </c>
      <c r="C35" s="15" t="s">
        <v>79</v>
      </c>
      <c r="D35" s="7" t="s">
        <v>80</v>
      </c>
      <c r="E35" s="5" t="n">
        <v>3</v>
      </c>
      <c r="F35" s="8" t="n">
        <v>0</v>
      </c>
      <c r="G35" s="9" t="n">
        <f aca="false">E35*F35</f>
        <v>0</v>
      </c>
      <c r="H35" s="10" t="s">
        <v>81</v>
      </c>
    </row>
    <row r="36" customFormat="false" ht="15" hidden="false" customHeight="false" outlineLevel="0" collapsed="false">
      <c r="A36" s="5" t="n">
        <v>25</v>
      </c>
      <c r="B36" s="6" t="s">
        <v>78</v>
      </c>
      <c r="C36" s="6" t="s">
        <v>82</v>
      </c>
      <c r="D36" s="7" t="s">
        <v>83</v>
      </c>
      <c r="E36" s="5" t="n">
        <v>1</v>
      </c>
      <c r="F36" s="8" t="n">
        <v>12</v>
      </c>
      <c r="G36" s="9" t="n">
        <f aca="false">E36*F36</f>
        <v>12</v>
      </c>
      <c r="H36" s="10" t="s">
        <v>84</v>
      </c>
    </row>
    <row r="37" customFormat="false" ht="15" hidden="false" customHeight="false" outlineLevel="0" collapsed="false">
      <c r="A37" s="5" t="n">
        <v>26</v>
      </c>
      <c r="B37" s="6" t="s">
        <v>78</v>
      </c>
      <c r="C37" s="6" t="s">
        <v>85</v>
      </c>
      <c r="D37" s="7" t="s">
        <v>86</v>
      </c>
      <c r="E37" s="5" t="n">
        <v>4</v>
      </c>
      <c r="F37" s="8" t="n">
        <v>1.5</v>
      </c>
      <c r="G37" s="9" t="n">
        <f aca="false">E37*F37</f>
        <v>6</v>
      </c>
      <c r="H37" s="10" t="s">
        <v>87</v>
      </c>
    </row>
    <row r="38" customFormat="false" ht="15" hidden="false" customHeight="false" outlineLevel="0" collapsed="false">
      <c r="A38" s="5" t="n">
        <v>27</v>
      </c>
      <c r="B38" s="6" t="s">
        <v>78</v>
      </c>
      <c r="C38" s="6" t="s">
        <v>88</v>
      </c>
      <c r="D38" s="7" t="s">
        <v>89</v>
      </c>
      <c r="E38" s="5" t="n">
        <v>2</v>
      </c>
      <c r="F38" s="8" t="n">
        <v>3</v>
      </c>
      <c r="G38" s="9" t="n">
        <f aca="false">E38*F38</f>
        <v>6</v>
      </c>
      <c r="H38" s="10" t="s">
        <v>87</v>
      </c>
    </row>
    <row r="39" customFormat="false" ht="15" hidden="false" customHeight="false" outlineLevel="0" collapsed="false">
      <c r="A39" s="5" t="n">
        <v>28</v>
      </c>
      <c r="B39" s="6" t="s">
        <v>78</v>
      </c>
      <c r="C39" s="6" t="s">
        <v>90</v>
      </c>
      <c r="D39" s="7" t="s">
        <v>91</v>
      </c>
      <c r="E39" s="5" t="n">
        <v>1</v>
      </c>
      <c r="F39" s="8" t="n">
        <v>3</v>
      </c>
      <c r="G39" s="9" t="n">
        <f aca="false">E39*F39</f>
        <v>3</v>
      </c>
      <c r="H39" s="10" t="s">
        <v>92</v>
      </c>
    </row>
    <row r="40" customFormat="false" ht="15" hidden="false" customHeight="false" outlineLevel="0" collapsed="false">
      <c r="A40" s="5" t="n">
        <v>29</v>
      </c>
      <c r="B40" s="6" t="s">
        <v>78</v>
      </c>
      <c r="C40" s="6" t="s">
        <v>93</v>
      </c>
      <c r="D40" s="7" t="s">
        <v>94</v>
      </c>
      <c r="E40" s="5" t="n">
        <v>2</v>
      </c>
      <c r="F40" s="8" t="n">
        <v>5</v>
      </c>
      <c r="G40" s="9" t="n">
        <f aca="false">E40*F40</f>
        <v>10</v>
      </c>
      <c r="H40" s="10" t="s">
        <v>84</v>
      </c>
    </row>
    <row r="41" customFormat="false" ht="15" hidden="false" customHeight="false" outlineLevel="0" collapsed="false">
      <c r="A41" s="5" t="n">
        <v>30</v>
      </c>
      <c r="B41" s="6" t="s">
        <v>78</v>
      </c>
      <c r="C41" s="6" t="s">
        <v>95</v>
      </c>
      <c r="D41" s="7" t="s">
        <v>96</v>
      </c>
      <c r="E41" s="5" t="n">
        <v>20</v>
      </c>
      <c r="F41" s="8" t="n">
        <v>0.4</v>
      </c>
      <c r="G41" s="9" t="n">
        <f aca="false">E41*F41</f>
        <v>8</v>
      </c>
      <c r="H41" s="10" t="s">
        <v>97</v>
      </c>
    </row>
    <row r="42" customFormat="false" ht="15" hidden="false" customHeight="false" outlineLevel="0" collapsed="false">
      <c r="A42" s="5" t="n">
        <v>31</v>
      </c>
      <c r="B42" s="6" t="s">
        <v>78</v>
      </c>
      <c r="C42" s="6" t="s">
        <v>98</v>
      </c>
      <c r="D42" s="7" t="s">
        <v>99</v>
      </c>
      <c r="E42" s="5" t="n">
        <v>20</v>
      </c>
      <c r="F42" s="8" t="n">
        <v>0.2</v>
      </c>
      <c r="G42" s="9" t="n">
        <f aca="false">E42*F42</f>
        <v>4</v>
      </c>
      <c r="H42" s="10" t="s">
        <v>100</v>
      </c>
    </row>
    <row r="43" customFormat="false" ht="15" hidden="false" customHeight="false" outlineLevel="0" collapsed="false">
      <c r="A43" s="5" t="n">
        <v>32</v>
      </c>
      <c r="B43" s="6" t="s">
        <v>78</v>
      </c>
      <c r="C43" s="6" t="s">
        <v>101</v>
      </c>
      <c r="D43" s="7" t="s">
        <v>102</v>
      </c>
      <c r="E43" s="5" t="n">
        <v>30</v>
      </c>
      <c r="F43" s="8" t="n">
        <v>0.1</v>
      </c>
      <c r="G43" s="9" t="n">
        <f aca="false">E43*F43</f>
        <v>3</v>
      </c>
      <c r="H43" s="10" t="s">
        <v>103</v>
      </c>
    </row>
    <row r="44" customFormat="false" ht="15" hidden="false" customHeight="false" outlineLevel="0" collapsed="false">
      <c r="A44" s="12" t="s">
        <v>104</v>
      </c>
      <c r="B44" s="12"/>
      <c r="C44" s="12"/>
      <c r="D44" s="12"/>
      <c r="E44" s="12"/>
      <c r="F44" s="12"/>
      <c r="G44" s="13" t="n">
        <f aca="false">SUM(G35:G43)</f>
        <v>52</v>
      </c>
      <c r="H44" s="14"/>
    </row>
    <row r="45" customFormat="false" ht="15" hidden="false" customHeight="false" outlineLevel="0" collapsed="false">
      <c r="A45" s="4" t="s">
        <v>105</v>
      </c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5" t="n">
        <v>33</v>
      </c>
      <c r="B46" s="6" t="s">
        <v>106</v>
      </c>
      <c r="C46" s="6" t="s">
        <v>107</v>
      </c>
      <c r="D46" s="7" t="s">
        <v>108</v>
      </c>
      <c r="E46" s="5" t="n">
        <v>10</v>
      </c>
      <c r="F46" s="8" t="n">
        <v>0.5</v>
      </c>
      <c r="G46" s="9" t="n">
        <f aca="false">E46*F46</f>
        <v>5</v>
      </c>
      <c r="H46" s="10" t="s">
        <v>109</v>
      </c>
    </row>
    <row r="47" customFormat="false" ht="15" hidden="false" customHeight="false" outlineLevel="0" collapsed="false">
      <c r="A47" s="5" t="n">
        <v>34</v>
      </c>
      <c r="B47" s="6" t="s">
        <v>106</v>
      </c>
      <c r="C47" s="6" t="s">
        <v>110</v>
      </c>
      <c r="D47" s="7" t="s">
        <v>111</v>
      </c>
      <c r="E47" s="5" t="n">
        <v>10</v>
      </c>
      <c r="F47" s="8" t="n">
        <v>0.6</v>
      </c>
      <c r="G47" s="9" t="n">
        <f aca="false">E47*F47</f>
        <v>6</v>
      </c>
      <c r="H47" s="10" t="s">
        <v>109</v>
      </c>
    </row>
    <row r="48" customFormat="false" ht="15" hidden="false" customHeight="false" outlineLevel="0" collapsed="false">
      <c r="A48" s="5" t="n">
        <v>35</v>
      </c>
      <c r="B48" s="6" t="s">
        <v>106</v>
      </c>
      <c r="C48" s="6" t="s">
        <v>112</v>
      </c>
      <c r="D48" s="7" t="s">
        <v>113</v>
      </c>
      <c r="E48" s="5" t="n">
        <v>5</v>
      </c>
      <c r="F48" s="8" t="n">
        <v>0.8</v>
      </c>
      <c r="G48" s="9" t="n">
        <f aca="false">E48*F48</f>
        <v>4</v>
      </c>
      <c r="H48" s="10" t="s">
        <v>109</v>
      </c>
    </row>
    <row r="49" customFormat="false" ht="15" hidden="false" customHeight="false" outlineLevel="0" collapsed="false">
      <c r="A49" s="5" t="n">
        <v>36</v>
      </c>
      <c r="B49" s="6" t="s">
        <v>106</v>
      </c>
      <c r="C49" s="6" t="s">
        <v>114</v>
      </c>
      <c r="D49" s="7" t="s">
        <v>115</v>
      </c>
      <c r="E49" s="5" t="n">
        <v>1</v>
      </c>
      <c r="F49" s="8" t="n">
        <v>4</v>
      </c>
      <c r="G49" s="9" t="n">
        <f aca="false">E49*F49</f>
        <v>4</v>
      </c>
      <c r="H49" s="10" t="s">
        <v>38</v>
      </c>
    </row>
    <row r="50" customFormat="false" ht="15" hidden="false" customHeight="false" outlineLevel="0" collapsed="false">
      <c r="A50" s="5" t="n">
        <v>37</v>
      </c>
      <c r="B50" s="6" t="s">
        <v>106</v>
      </c>
      <c r="C50" s="6" t="s">
        <v>116</v>
      </c>
      <c r="D50" s="7" t="s">
        <v>117</v>
      </c>
      <c r="E50" s="5" t="n">
        <v>1</v>
      </c>
      <c r="F50" s="8" t="n">
        <v>3</v>
      </c>
      <c r="G50" s="9" t="n">
        <f aca="false">E50*F50</f>
        <v>3</v>
      </c>
      <c r="H50" s="10" t="s">
        <v>38</v>
      </c>
    </row>
    <row r="51" customFormat="false" ht="15" hidden="false" customHeight="false" outlineLevel="0" collapsed="false">
      <c r="A51" s="5" t="n">
        <v>38</v>
      </c>
      <c r="B51" s="6" t="s">
        <v>106</v>
      </c>
      <c r="C51" s="6" t="s">
        <v>118</v>
      </c>
      <c r="D51" s="7" t="s">
        <v>119</v>
      </c>
      <c r="E51" s="5" t="n">
        <v>40</v>
      </c>
      <c r="F51" s="8" t="n">
        <v>0.05</v>
      </c>
      <c r="G51" s="9" t="n">
        <f aca="false">E51*F51</f>
        <v>2</v>
      </c>
      <c r="H51" s="10" t="s">
        <v>120</v>
      </c>
    </row>
    <row r="52" customFormat="false" ht="15" hidden="false" customHeight="false" outlineLevel="0" collapsed="false">
      <c r="A52" s="5" t="n">
        <v>39</v>
      </c>
      <c r="B52" s="6" t="s">
        <v>106</v>
      </c>
      <c r="C52" s="6" t="s">
        <v>121</v>
      </c>
      <c r="D52" s="7" t="s">
        <v>122</v>
      </c>
      <c r="E52" s="5" t="n">
        <v>10</v>
      </c>
      <c r="F52" s="8" t="n">
        <v>0.8</v>
      </c>
      <c r="G52" s="9" t="n">
        <f aca="false">E52*F52</f>
        <v>8</v>
      </c>
      <c r="H52" s="10" t="s">
        <v>47</v>
      </c>
    </row>
    <row r="53" customFormat="false" ht="15" hidden="false" customHeight="false" outlineLevel="0" collapsed="false">
      <c r="A53" s="5" t="n">
        <v>40</v>
      </c>
      <c r="B53" s="6" t="s">
        <v>106</v>
      </c>
      <c r="C53" s="6" t="s">
        <v>123</v>
      </c>
      <c r="D53" s="7" t="s">
        <v>124</v>
      </c>
      <c r="E53" s="5" t="n">
        <v>1</v>
      </c>
      <c r="F53" s="8" t="n">
        <v>3</v>
      </c>
      <c r="G53" s="9" t="n">
        <f aca="false">E53*F53</f>
        <v>3</v>
      </c>
      <c r="H53" s="10" t="s">
        <v>38</v>
      </c>
    </row>
    <row r="54" customFormat="false" ht="15" hidden="false" customHeight="false" outlineLevel="0" collapsed="false">
      <c r="A54" s="5" t="n">
        <v>41</v>
      </c>
      <c r="B54" s="6" t="s">
        <v>106</v>
      </c>
      <c r="C54" s="6" t="s">
        <v>125</v>
      </c>
      <c r="D54" s="7" t="s">
        <v>126</v>
      </c>
      <c r="E54" s="5" t="n">
        <v>1</v>
      </c>
      <c r="F54" s="8" t="n">
        <v>2</v>
      </c>
      <c r="G54" s="9" t="n">
        <f aca="false">E54*F54</f>
        <v>2</v>
      </c>
      <c r="H54" s="10" t="s">
        <v>127</v>
      </c>
    </row>
    <row r="55" customFormat="false" ht="15" hidden="false" customHeight="false" outlineLevel="0" collapsed="false">
      <c r="A55" s="12" t="s">
        <v>128</v>
      </c>
      <c r="B55" s="12"/>
      <c r="C55" s="12"/>
      <c r="D55" s="12"/>
      <c r="E55" s="12"/>
      <c r="F55" s="12"/>
      <c r="G55" s="13" t="n">
        <f aca="false">SUM(G46:G54)</f>
        <v>37</v>
      </c>
      <c r="H55" s="14"/>
    </row>
    <row r="56" customFormat="false" ht="15" hidden="false" customHeight="false" outlineLevel="0" collapsed="false">
      <c r="A56" s="4" t="s">
        <v>129</v>
      </c>
      <c r="B56" s="4"/>
      <c r="C56" s="4"/>
      <c r="D56" s="4"/>
      <c r="E56" s="4"/>
      <c r="F56" s="4"/>
      <c r="G56" s="4"/>
      <c r="H56" s="4"/>
    </row>
    <row r="57" customFormat="false" ht="15" hidden="false" customHeight="false" outlineLevel="0" collapsed="false">
      <c r="A57" s="5" t="n">
        <v>42</v>
      </c>
      <c r="B57" s="6" t="s">
        <v>130</v>
      </c>
      <c r="C57" s="6" t="s">
        <v>131</v>
      </c>
      <c r="D57" s="7" t="s">
        <v>132</v>
      </c>
      <c r="E57" s="5" t="n">
        <v>1</v>
      </c>
      <c r="F57" s="8" t="n">
        <v>12</v>
      </c>
      <c r="G57" s="9" t="n">
        <f aca="false">E57*F57</f>
        <v>12</v>
      </c>
      <c r="H57" s="10" t="s">
        <v>133</v>
      </c>
    </row>
    <row r="58" customFormat="false" ht="15" hidden="false" customHeight="false" outlineLevel="0" collapsed="false">
      <c r="A58" s="5" t="n">
        <v>43</v>
      </c>
      <c r="B58" s="6" t="s">
        <v>130</v>
      </c>
      <c r="C58" s="6" t="s">
        <v>134</v>
      </c>
      <c r="D58" s="7" t="s">
        <v>135</v>
      </c>
      <c r="E58" s="5" t="n">
        <v>8</v>
      </c>
      <c r="F58" s="8" t="n">
        <v>0.5</v>
      </c>
      <c r="G58" s="9" t="n">
        <f aca="false">E58*F58</f>
        <v>4</v>
      </c>
      <c r="H58" s="10" t="s">
        <v>47</v>
      </c>
    </row>
    <row r="59" customFormat="false" ht="15" hidden="false" customHeight="false" outlineLevel="0" collapsed="false">
      <c r="A59" s="5" t="n">
        <v>44</v>
      </c>
      <c r="B59" s="6" t="s">
        <v>130</v>
      </c>
      <c r="C59" s="6" t="s">
        <v>136</v>
      </c>
      <c r="D59" s="7" t="s">
        <v>137</v>
      </c>
      <c r="E59" s="5" t="n">
        <v>4</v>
      </c>
      <c r="F59" s="8" t="n">
        <v>0.6</v>
      </c>
      <c r="G59" s="9" t="n">
        <f aca="false">E59*F59</f>
        <v>2.4</v>
      </c>
      <c r="H59" s="10" t="s">
        <v>47</v>
      </c>
    </row>
    <row r="60" customFormat="false" ht="15" hidden="false" customHeight="false" outlineLevel="0" collapsed="false">
      <c r="A60" s="5" t="n">
        <v>45</v>
      </c>
      <c r="B60" s="6" t="s">
        <v>130</v>
      </c>
      <c r="C60" s="6" t="s">
        <v>138</v>
      </c>
      <c r="D60" s="7" t="s">
        <v>139</v>
      </c>
      <c r="E60" s="5" t="n">
        <v>2</v>
      </c>
      <c r="F60" s="8" t="n">
        <v>0.7</v>
      </c>
      <c r="G60" s="9" t="n">
        <f aca="false">E60*F60</f>
        <v>1.4</v>
      </c>
      <c r="H60" s="10" t="s">
        <v>38</v>
      </c>
    </row>
    <row r="61" customFormat="false" ht="15" hidden="false" customHeight="false" outlineLevel="0" collapsed="false">
      <c r="A61" s="5" t="n">
        <v>46</v>
      </c>
      <c r="B61" s="6" t="s">
        <v>130</v>
      </c>
      <c r="C61" s="6" t="s">
        <v>140</v>
      </c>
      <c r="D61" s="7" t="s">
        <v>141</v>
      </c>
      <c r="E61" s="5" t="n">
        <v>1</v>
      </c>
      <c r="F61" s="8" t="n">
        <v>2.5</v>
      </c>
      <c r="G61" s="9" t="n">
        <f aca="false">E61*F61</f>
        <v>2.5</v>
      </c>
      <c r="H61" s="10" t="s">
        <v>38</v>
      </c>
    </row>
    <row r="62" customFormat="false" ht="15" hidden="false" customHeight="false" outlineLevel="0" collapsed="false">
      <c r="A62" s="5" t="n">
        <v>47</v>
      </c>
      <c r="B62" s="6" t="s">
        <v>130</v>
      </c>
      <c r="C62" s="6" t="s">
        <v>142</v>
      </c>
      <c r="D62" s="7" t="s">
        <v>143</v>
      </c>
      <c r="E62" s="5" t="n">
        <v>1</v>
      </c>
      <c r="F62" s="8" t="n">
        <v>2</v>
      </c>
      <c r="G62" s="9" t="n">
        <f aca="false">E62*F62</f>
        <v>2</v>
      </c>
      <c r="H62" s="10" t="s">
        <v>59</v>
      </c>
    </row>
    <row r="63" customFormat="false" ht="15" hidden="false" customHeight="false" outlineLevel="0" collapsed="false">
      <c r="A63" s="5" t="n">
        <v>48</v>
      </c>
      <c r="B63" s="6" t="s">
        <v>130</v>
      </c>
      <c r="C63" s="6" t="s">
        <v>144</v>
      </c>
      <c r="D63" s="7" t="s">
        <v>145</v>
      </c>
      <c r="E63" s="5" t="n">
        <v>1</v>
      </c>
      <c r="F63" s="8" t="n">
        <v>3</v>
      </c>
      <c r="G63" s="9" t="n">
        <f aca="false">E63*F63</f>
        <v>3</v>
      </c>
      <c r="H63" s="10" t="s">
        <v>38</v>
      </c>
    </row>
    <row r="64" customFormat="false" ht="15" hidden="false" customHeight="false" outlineLevel="0" collapsed="false">
      <c r="A64" s="5" t="n">
        <v>49</v>
      </c>
      <c r="B64" s="6" t="s">
        <v>130</v>
      </c>
      <c r="C64" s="6" t="s">
        <v>146</v>
      </c>
      <c r="D64" s="7" t="s">
        <v>147</v>
      </c>
      <c r="E64" s="5" t="n">
        <v>1</v>
      </c>
      <c r="F64" s="8" t="n">
        <v>2.5</v>
      </c>
      <c r="G64" s="9" t="n">
        <f aca="false">E64*F64</f>
        <v>2.5</v>
      </c>
      <c r="H64" s="10" t="s">
        <v>38</v>
      </c>
    </row>
    <row r="65" customFormat="false" ht="15" hidden="false" customHeight="false" outlineLevel="0" collapsed="false">
      <c r="A65" s="12" t="s">
        <v>148</v>
      </c>
      <c r="B65" s="12"/>
      <c r="C65" s="12"/>
      <c r="D65" s="12"/>
      <c r="E65" s="12"/>
      <c r="F65" s="12"/>
      <c r="G65" s="13" t="n">
        <f aca="false">SUM(G57:G64)</f>
        <v>29.8</v>
      </c>
      <c r="H65" s="14"/>
    </row>
    <row r="66" customFormat="false" ht="15" hidden="false" customHeight="false" outlineLevel="0" collapsed="false">
      <c r="A66" s="4" t="s">
        <v>149</v>
      </c>
      <c r="B66" s="4"/>
      <c r="C66" s="4"/>
      <c r="D66" s="4"/>
      <c r="E66" s="4"/>
      <c r="F66" s="4"/>
      <c r="G66" s="4"/>
      <c r="H66" s="4"/>
    </row>
    <row r="67" customFormat="false" ht="15" hidden="false" customHeight="false" outlineLevel="0" collapsed="false">
      <c r="A67" s="5" t="n">
        <v>50</v>
      </c>
      <c r="B67" s="6" t="s">
        <v>150</v>
      </c>
      <c r="C67" s="6" t="s">
        <v>151</v>
      </c>
      <c r="D67" s="7" t="s">
        <v>152</v>
      </c>
      <c r="E67" s="5" t="n">
        <v>1</v>
      </c>
      <c r="F67" s="8" t="n">
        <v>15</v>
      </c>
      <c r="G67" s="9" t="n">
        <f aca="false">E67*F67</f>
        <v>15</v>
      </c>
      <c r="H67" s="10" t="s">
        <v>133</v>
      </c>
    </row>
    <row r="68" customFormat="false" ht="15" hidden="false" customHeight="false" outlineLevel="0" collapsed="false">
      <c r="A68" s="5" t="n">
        <v>51</v>
      </c>
      <c r="B68" s="6" t="s">
        <v>150</v>
      </c>
      <c r="C68" s="6" t="s">
        <v>153</v>
      </c>
      <c r="D68" s="7" t="s">
        <v>154</v>
      </c>
      <c r="E68" s="5" t="n">
        <v>4</v>
      </c>
      <c r="F68" s="8" t="n">
        <v>1.5</v>
      </c>
      <c r="G68" s="9" t="n">
        <f aca="false">E68*F68</f>
        <v>6</v>
      </c>
      <c r="H68" s="10" t="s">
        <v>38</v>
      </c>
    </row>
    <row r="69" customFormat="false" ht="15" hidden="false" customHeight="false" outlineLevel="0" collapsed="false">
      <c r="A69" s="5" t="n">
        <v>52</v>
      </c>
      <c r="B69" s="6" t="s">
        <v>150</v>
      </c>
      <c r="C69" s="6" t="s">
        <v>155</v>
      </c>
      <c r="D69" s="7" t="s">
        <v>156</v>
      </c>
      <c r="E69" s="5" t="n">
        <v>1</v>
      </c>
      <c r="F69" s="8" t="n">
        <v>3</v>
      </c>
      <c r="G69" s="9" t="n">
        <f aca="false">E69*F69</f>
        <v>3</v>
      </c>
      <c r="H69" s="10" t="s">
        <v>157</v>
      </c>
    </row>
    <row r="70" customFormat="false" ht="15" hidden="false" customHeight="false" outlineLevel="0" collapsed="false">
      <c r="A70" s="5" t="n">
        <v>53</v>
      </c>
      <c r="B70" s="6" t="s">
        <v>150</v>
      </c>
      <c r="C70" s="6" t="s">
        <v>158</v>
      </c>
      <c r="D70" s="7" t="s">
        <v>159</v>
      </c>
      <c r="E70" s="5" t="n">
        <v>2</v>
      </c>
      <c r="F70" s="8" t="n">
        <v>3</v>
      </c>
      <c r="G70" s="9" t="n">
        <f aca="false">E70*F70</f>
        <v>6</v>
      </c>
      <c r="H70" s="10" t="s">
        <v>160</v>
      </c>
    </row>
    <row r="71" customFormat="false" ht="15" hidden="false" customHeight="false" outlineLevel="0" collapsed="false">
      <c r="A71" s="12" t="s">
        <v>161</v>
      </c>
      <c r="B71" s="12"/>
      <c r="C71" s="12"/>
      <c r="D71" s="12"/>
      <c r="E71" s="12"/>
      <c r="F71" s="12"/>
      <c r="G71" s="13" t="n">
        <f aca="false">SUM(G67:G70)</f>
        <v>30</v>
      </c>
      <c r="H71" s="14"/>
    </row>
    <row r="73" customFormat="false" ht="15" hidden="false" customHeight="false" outlineLevel="0" collapsed="false">
      <c r="A73" s="16" t="s">
        <v>162</v>
      </c>
      <c r="B73" s="16"/>
      <c r="C73" s="16"/>
      <c r="D73" s="16"/>
      <c r="E73" s="16"/>
      <c r="F73" s="16"/>
      <c r="G73" s="17" t="n">
        <f aca="false">G11+G26+G33+G44+G55+G65+G71</f>
        <v>291.2</v>
      </c>
      <c r="H73" s="18"/>
    </row>
    <row r="74" customFormat="false" ht="15" hidden="false" customHeight="false" outlineLevel="0" collapsed="false">
      <c r="A74" s="19" t="s">
        <v>163</v>
      </c>
      <c r="B74" s="19"/>
      <c r="C74" s="19"/>
      <c r="D74" s="19"/>
      <c r="E74" s="19"/>
      <c r="F74" s="19"/>
      <c r="G74" s="20" t="n">
        <f aca="false">G73*0.15</f>
        <v>43.68</v>
      </c>
    </row>
    <row r="75" customFormat="false" ht="16.15" hidden="false" customHeight="false" outlineLevel="0" collapsed="false">
      <c r="A75" s="21" t="s">
        <v>164</v>
      </c>
      <c r="B75" s="21"/>
      <c r="C75" s="21"/>
      <c r="D75" s="21"/>
      <c r="E75" s="21"/>
      <c r="F75" s="21"/>
      <c r="G75" s="22" t="n">
        <f aca="false">G73+G74</f>
        <v>334.88</v>
      </c>
      <c r="H75" s="23"/>
    </row>
    <row r="77" customFormat="false" ht="15" hidden="false" customHeight="false" outlineLevel="0" collapsed="false">
      <c r="A77" s="24" t="s">
        <v>165</v>
      </c>
    </row>
    <row r="78" customFormat="false" ht="15" hidden="false" customHeight="false" outlineLevel="0" collapsed="false">
      <c r="A78" s="25" t="s">
        <v>166</v>
      </c>
      <c r="B78" s="25"/>
      <c r="C78" s="25"/>
      <c r="D78" s="25"/>
      <c r="E78" s="25"/>
      <c r="F78" s="25"/>
      <c r="G78" s="25"/>
      <c r="H78" s="25"/>
    </row>
    <row r="79" customFormat="false" ht="15" hidden="false" customHeight="false" outlineLevel="0" collapsed="false">
      <c r="A79" s="25" t="s">
        <v>167</v>
      </c>
      <c r="B79" s="25"/>
      <c r="C79" s="25"/>
      <c r="D79" s="25"/>
      <c r="E79" s="25"/>
      <c r="F79" s="25"/>
      <c r="G79" s="25"/>
      <c r="H79" s="25"/>
    </row>
    <row r="80" customFormat="false" ht="15" hidden="false" customHeight="false" outlineLevel="0" collapsed="false">
      <c r="A80" s="25" t="s">
        <v>168</v>
      </c>
      <c r="B80" s="25"/>
      <c r="C80" s="25"/>
      <c r="D80" s="25"/>
      <c r="E80" s="25"/>
      <c r="F80" s="25"/>
      <c r="G80" s="25"/>
      <c r="H80" s="25"/>
    </row>
    <row r="81" customFormat="false" ht="15" hidden="false" customHeight="false" outlineLevel="0" collapsed="false">
      <c r="A81" s="25" t="s">
        <v>169</v>
      </c>
      <c r="B81" s="25"/>
      <c r="C81" s="25"/>
      <c r="D81" s="25"/>
      <c r="E81" s="25"/>
      <c r="F81" s="25"/>
      <c r="G81" s="25"/>
      <c r="H81" s="25"/>
    </row>
    <row r="82" customFormat="false" ht="15" hidden="false" customHeight="false" outlineLevel="0" collapsed="false">
      <c r="A82" s="25" t="s">
        <v>170</v>
      </c>
      <c r="B82" s="25"/>
      <c r="C82" s="25"/>
      <c r="D82" s="25"/>
      <c r="E82" s="25"/>
      <c r="F82" s="25"/>
      <c r="G82" s="25"/>
      <c r="H82" s="25"/>
    </row>
    <row r="83" customFormat="false" ht="15" hidden="false" customHeight="false" outlineLevel="0" collapsed="false">
      <c r="A83" s="25" t="s">
        <v>171</v>
      </c>
      <c r="B83" s="25"/>
      <c r="C83" s="25"/>
      <c r="D83" s="25"/>
      <c r="E83" s="25"/>
      <c r="F83" s="25"/>
      <c r="G83" s="25"/>
      <c r="H83" s="25"/>
    </row>
    <row r="84" customFormat="false" ht="15" hidden="false" customHeight="false" outlineLevel="0" collapsed="false">
      <c r="A84" s="25" t="s">
        <v>172</v>
      </c>
      <c r="B84" s="25"/>
      <c r="C84" s="25"/>
      <c r="D84" s="25"/>
      <c r="E84" s="25"/>
      <c r="F84" s="25"/>
      <c r="G84" s="25"/>
      <c r="H84" s="25"/>
    </row>
    <row r="85" customFormat="false" ht="15" hidden="false" customHeight="false" outlineLevel="0" collapsed="false">
      <c r="A85" s="25" t="s">
        <v>173</v>
      </c>
      <c r="B85" s="25"/>
      <c r="C85" s="25"/>
      <c r="D85" s="25"/>
      <c r="E85" s="25"/>
      <c r="F85" s="25"/>
      <c r="G85" s="25"/>
      <c r="H85" s="25"/>
    </row>
  </sheetData>
  <mergeCells count="27">
    <mergeCell ref="A1:H1"/>
    <mergeCell ref="A2:H2"/>
    <mergeCell ref="A5:H5"/>
    <mergeCell ref="A11:F11"/>
    <mergeCell ref="A12:H12"/>
    <mergeCell ref="A26:F26"/>
    <mergeCell ref="A27:H27"/>
    <mergeCell ref="A33:F33"/>
    <mergeCell ref="A34:H34"/>
    <mergeCell ref="A44:F44"/>
    <mergeCell ref="A45:H45"/>
    <mergeCell ref="A55:F55"/>
    <mergeCell ref="A56:H56"/>
    <mergeCell ref="A65:F65"/>
    <mergeCell ref="A66:H66"/>
    <mergeCell ref="A71:F71"/>
    <mergeCell ref="A73:F73"/>
    <mergeCell ref="A74:F74"/>
    <mergeCell ref="A75:F75"/>
    <mergeCell ref="A78:H78"/>
    <mergeCell ref="A79:H79"/>
    <mergeCell ref="A80:H80"/>
    <mergeCell ref="A81:H81"/>
    <mergeCell ref="A82:H82"/>
    <mergeCell ref="A83:H83"/>
    <mergeCell ref="A84:H84"/>
    <mergeCell ref="A85:H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2026-04-04T10:49:14Z</dcterms:created>
  <dc:creator>openpyxl</dc:creator>
  <dc:description/>
  <dc:language>en-US</dc:language>
  <cp:lastModifiedBy/>
  <dcterms:modified xsi:type="dcterms:W3CDTF">2026-04-04T10:49:14Z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