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M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<sst xmlns="http://schemas.openxmlformats.org/spreadsheetml/2006/main" count="203" uniqueCount="137">
  <si>
    <t xml:space="preserve">BALCONY HYDRA v4 — BOM Distribuée (Prise secteur balcon)</t>
  </si>
  <si>
    <t xml:space="preserve">20 pots · 2 zones · 2× ESP32 · USB secteur · Mougins le Haut</t>
  </si>
  <si>
    <t xml:space="preserve">#</t>
  </si>
  <si>
    <t xml:space="preserve">Catégorie</t>
  </si>
  <si>
    <t xml:space="preserve">Composant</t>
  </si>
  <si>
    <t xml:space="preserve">Spécification</t>
  </si>
  <si>
    <t xml:space="preserve">Qté</t>
  </si>
  <si>
    <t xml:space="preserve">P.U. €</t>
  </si>
  <si>
    <t xml:space="preserve">Total €</t>
  </si>
  <si>
    <t xml:space="preserve">Source / Notes</t>
  </si>
  <si>
    <t xml:space="preserve">🔌 MCU &amp; ÉLECTRONIQUE</t>
  </si>
  <si>
    <t xml:space="preserve">MCU &amp; ÉLECTRONIQUE</t>
  </si>
  <si>
    <t xml:space="preserve">ESP32 DevKit WROOM-32 (×2)</t>
  </si>
  <si>
    <t xml:space="preserve">Dual-core, WiFi+BLE, USB-C. Maître intérieur + esclave balcon</t>
  </si>
  <si>
    <t xml:space="preserve">AliExpress / ELEGOO</t>
  </si>
  <si>
    <t xml:space="preserve">Breakout board borniers à vis (×2)</t>
  </si>
  <si>
    <t xml:space="preserve">30 pins, borniers 3.5/5mm, zéro soudure</t>
  </si>
  <si>
    <t xml:space="preserve">CZH-Labs / Amazon</t>
  </si>
  <si>
    <t xml:space="preserve">Multiplexeur CD74HC4067 breakout</t>
  </si>
  <si>
    <t xml:space="preserve">16ch, broches header pré-soudées. 1 par zone</t>
  </si>
  <si>
    <t xml:space="preserve">AliExpress</t>
  </si>
  <si>
    <t xml:space="preserve">Module MOSFET D4184 pré-câblé (×2)</t>
  </si>
  <si>
    <t xml:space="preserve">MOSFET+diode+résistance, borniers. 1 par pompe</t>
  </si>
  <si>
    <t xml:space="preserve">Module relais 5V 1 canal</t>
  </si>
  <si>
    <t xml:space="preserve">Opto-isolé, borniers. Relay sécurité pompe B (maître)</t>
  </si>
  <si>
    <t xml:space="preserve">Chargeur USB 5V 2A (×2)</t>
  </si>
  <si>
    <t xml:space="preserve">Un par ESP32. Maître intérieur + esclave balcon</t>
  </si>
  <si>
    <t xml:space="preserve">Amazon / récupération</t>
  </si>
  <si>
    <t xml:space="preserve">LED RGB 5mm common cathode (×2)</t>
  </si>
  <si>
    <t xml:space="preserve">1 maître + 1 esclave</t>
  </si>
  <si>
    <t xml:space="preserve">AliExpress (lot 10)</t>
  </si>
  <si>
    <t xml:space="preserve">Résistances 220Ω (LED RGB)</t>
  </si>
  <si>
    <t xml:space="preserve">6× traversantes, 3 par LED RGB</t>
  </si>
  <si>
    <t xml:space="preserve">AliExpress (lot 100)</t>
  </si>
  <si>
    <t xml:space="preserve">Résistance 10kΩ (pull-down MOSFET)</t>
  </si>
  <si>
    <t xml:space="preserve">Pompe OFF si MCU crash. 1 par zone</t>
  </si>
  <si>
    <t xml:space="preserve">Résistance 4.7kΩ (pull-up I2C)</t>
  </si>
  <si>
    <t xml:space="preserve">SDA + SCL, 1 paire par ESP32</t>
  </si>
  <si>
    <t xml:space="preserve">Condensateur 100µF 25V</t>
  </si>
  <si>
    <t xml:space="preserve">Filtrage entrée USB</t>
  </si>
  <si>
    <t xml:space="preserve">Fusible 3A + porte-fusible inline</t>
  </si>
  <si>
    <t xml:space="preserve">Sur ligne 12V pompe esclave (si pompe 12V)</t>
  </si>
  <si>
    <t xml:space="preserve">Sous-total MCU &amp; ÉLECTRONIQUE</t>
  </si>
  <si>
    <t xml:space="preserve">📡 CAPTEURS</t>
  </si>
  <si>
    <t xml:space="preserve">CAPTEURS</t>
  </si>
  <si>
    <t xml:space="preserve">Capteur humidité capacitif v2.0</t>
  </si>
  <si>
    <t xml:space="preserve">Analogique 3.3-5V, câble JST 3 pins. 10 par zone</t>
  </si>
  <si>
    <t xml:space="preserve">AliExpress (lot 10 ~8€)</t>
  </si>
  <si>
    <t xml:space="preserve">Capteur US étanche JSN-SR04T</t>
  </si>
  <si>
    <t xml:space="preserve">IP67, sonde déportée. 1 par zone/réservoir</t>
  </si>
  <si>
    <t xml:space="preserve">Capteur BME280 breakout I2C</t>
  </si>
  <si>
    <t xml:space="preserve">T°/HR/P extérieur. Esclave balcon uniquement</t>
  </si>
  <si>
    <t xml:space="preserve">Module RTC DS3231 + pile CR2032</t>
  </si>
  <si>
    <t xml:space="preserve">I2C 0x68. Horloge maître uniquement</t>
  </si>
  <si>
    <t xml:space="preserve">LCD TFT 2.4" ILI9341 + tactile</t>
  </si>
  <si>
    <t xml:space="preserve">320×240 SPI + XPT2046. Dashboard maître</t>
  </si>
  <si>
    <t xml:space="preserve">Capteur INA219 breakout I2C</t>
  </si>
  <si>
    <t xml:space="preserve">Courant pompe A. Esclave uniquement</t>
  </si>
  <si>
    <t xml:space="preserve">Sous-total CAPTEURS</t>
  </si>
  <si>
    <t xml:space="preserve">💧 HYDRAULIQUE</t>
  </si>
  <si>
    <t xml:space="preserve">HYDRAULIQUE</t>
  </si>
  <si>
    <t xml:space="preserve">Réservoirs 25L (EXISTANTS)</t>
  </si>
  <si>
    <t xml:space="preserve">2× balcon (50L) + 1× intérieur (25L)</t>
  </si>
  <si>
    <t xml:space="preserve">EXISTANT</t>
  </si>
  <si>
    <t xml:space="preserve">Pompe péristaltique 12V (×2 zones)</t>
  </si>
  <si>
    <t xml:space="preserve">Auto-amorçante, silicone. 1 par zone</t>
  </si>
  <si>
    <t xml:space="preserve">Passe-cloison PVC 1/2" + joints EPDM</t>
  </si>
  <si>
    <t xml:space="preserve">Inter-bidon balcon uniquement</t>
  </si>
  <si>
    <t xml:space="preserve">Leroy Merlin</t>
  </si>
  <si>
    <t xml:space="preserve">Tube tressé renforcé 1/2"</t>
  </si>
  <si>
    <t xml:space="preserve">30cm inter-bidon balcon</t>
  </si>
  <si>
    <t xml:space="preserve">Téflon PTFE + colliers inox 1/2"</t>
  </si>
  <si>
    <t xml:space="preserve">Étanchéité raccords</t>
  </si>
  <si>
    <t xml:space="preserve">Bricomarché</t>
  </si>
  <si>
    <t xml:space="preserve">Tube silicone/PVC 4/6mm</t>
  </si>
  <si>
    <t xml:space="preserve">Rouleau 20m. Distribution goutteurs</t>
  </si>
  <si>
    <t xml:space="preserve">Goutteurs auto-compensants (mix)</t>
  </si>
  <si>
    <t xml:space="preserve">CNL: 10× 2L/h + 6× 4L/h + 4× 8L/h</t>
  </si>
  <si>
    <t xml:space="preserve">Connecteurs T / Y 4mm</t>
  </si>
  <si>
    <t xml:space="preserve">Dérivation réseau tubes</t>
  </si>
  <si>
    <t xml:space="preserve">AliExpress (lot 50)</t>
  </si>
  <si>
    <t xml:space="preserve">Colliers de serrage 6mm inox</t>
  </si>
  <si>
    <t xml:space="preserve">Fixation tubes</t>
  </si>
  <si>
    <t xml:space="preserve">Sous-total HYDRAULIQUE</t>
  </si>
  <si>
    <t xml:space="preserve">🔧 CÂBLAGE PLUG-AND-PLAY</t>
  </si>
  <si>
    <t xml:space="preserve">CÂBLAGE PLUG-AND-PLAY</t>
  </si>
  <si>
    <t xml:space="preserve">Wago 221-412 (2 entrées)</t>
  </si>
  <si>
    <t xml:space="preserve">Connexion rapide 12-24 AWG</t>
  </si>
  <si>
    <t xml:space="preserve">Wago 221-413 (3 entrées)</t>
  </si>
  <si>
    <t xml:space="preserve">Jonction 3.3V/GND/Signal</t>
  </si>
  <si>
    <t xml:space="preserve">Wago 221-415 (5 entrées)</t>
  </si>
  <si>
    <t xml:space="preserve">Distribution rails</t>
  </si>
  <si>
    <t xml:space="preserve">Câble silicone 22AWG rouge+noir</t>
  </si>
  <si>
    <t xml:space="preserve">5m chaque, signal</t>
  </si>
  <si>
    <t xml:space="preserve">Câbles Dupont F-F 20cm</t>
  </si>
  <si>
    <t xml:space="preserve">MUX ↔ breakout</t>
  </si>
  <si>
    <t xml:space="preserve">AliExpress (pack 40)</t>
  </si>
  <si>
    <t xml:space="preserve">Rallonge capteur JST-XH 3 pins</t>
  </si>
  <si>
    <t xml:space="preserve">Capteurs déportés</t>
  </si>
  <si>
    <t xml:space="preserve">Gaine thermorétractable</t>
  </si>
  <si>
    <t xml:space="preserve">2-10mm, protection</t>
  </si>
  <si>
    <t xml:space="preserve">Serre-câbles nylon 100mm</t>
  </si>
  <si>
    <t xml:space="preserve">Gestion câbles</t>
  </si>
  <si>
    <t xml:space="preserve">Bricomarché (lot 100)</t>
  </si>
  <si>
    <t xml:space="preserve">Sous-total CÂBLAGE PLUG-AND-PLAY</t>
  </si>
  <si>
    <t xml:space="preserve">📦 BOÎTIER MAÎTRE (intérieur)</t>
  </si>
  <si>
    <t xml:space="preserve">BOÎTIER MAÎTRE (intéri</t>
  </si>
  <si>
    <t xml:space="preserve">Boîtier ABS intérieur</t>
  </si>
  <si>
    <t xml:space="preserve">200×150×85mm. Pas besoin IP65</t>
  </si>
  <si>
    <t xml:space="preserve">Bouton poussoir étanche IP67</t>
  </si>
  <si>
    <t xml:space="preserve">Momentané NO, métal 12mm</t>
  </si>
  <si>
    <t xml:space="preserve">Plaque support perforée + vis M3</t>
  </si>
  <si>
    <t xml:space="preserve">Fixation ESP32 + modules</t>
  </si>
  <si>
    <t xml:space="preserve">Entretoises nylon M3</t>
  </si>
  <si>
    <t xml:space="preserve">Isolation PCB</t>
  </si>
  <si>
    <t xml:space="preserve">Sous-total BOÎTIER MAÎTRE (intérieur)</t>
  </si>
  <si>
    <t xml:space="preserve">📦 BOÎTIER ESCLAVE (balcon IP65)</t>
  </si>
  <si>
    <t xml:space="preserve">BOÎTIER ESCLAVE (balco</t>
  </si>
  <si>
    <t xml:space="preserve">Boîtier IP65 ABS BLANC</t>
  </si>
  <si>
    <t xml:space="preserve">200×150×85mm, étanche, vis inox</t>
  </si>
  <si>
    <t xml:space="preserve">AliExpress — BLANC</t>
  </si>
  <si>
    <t xml:space="preserve">Presse-étoupe PG7</t>
  </si>
  <si>
    <t xml:space="preserve">Câbles capteurs 3-6mm</t>
  </si>
  <si>
    <t xml:space="preserve">Presse-étoupe PG9</t>
  </si>
  <si>
    <t xml:space="preserve">Câbles puissance 6-8mm</t>
  </si>
  <si>
    <t xml:space="preserve">Presse-étoupe PG11</t>
  </si>
  <si>
    <t xml:space="preserve">Câble USB + pompe</t>
  </si>
  <si>
    <t xml:space="preserve">Sous-total BOÎTIER ESCLAVE (balcon IP65)</t>
  </si>
  <si>
    <t xml:space="preserve">TOTAL BOM</t>
  </si>
  <si>
    <t xml:space="preserve">+ Marge rechange 15%</t>
  </si>
  <si>
    <t xml:space="preserve">BUDGET TOTAL PROJET</t>
  </si>
  <si>
    <t xml:space="preserve">NOTES:</t>
  </si>
  <si>
    <t xml:space="preserve">• PLUG-AND-PLAY : Aucune soudure. Borniers à vis, Wago 221, Dupont, JST.</t>
  </si>
  <si>
    <t xml:space="preserve">• 2× USB SECTEUR : Prise balcon + prise intérieur. Pas de solaire/batterie.</t>
  </si>
  <si>
    <t xml:space="preserve">• SUPPRIMÉ vs v3 : Panneau solaire, MPPT, LiFePO4, LM2596, fusible 5A/thermique, boîtier énergie.</t>
  </si>
  <si>
    <t xml:space="preserve">• ÉCONOMIE : ~104€ économisés grâce à la prise secteur balcon.</t>
  </si>
  <si>
    <t xml:space="preserve">• Zéro gestion thermique batterie — le risque principal du projet est éliminé.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</si>
</sst>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&quot; €&quot;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C3E50"/>
      <name val="Arial"/>
      <family val="0"/>
      <charset val="1"/>
    </font>
    <font>
      <i val="true"/>
      <sz val="10"/>
      <color rgb="FF7F8C8D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2C3E50"/>
      <name val="Arial"/>
      <family val="0"/>
      <charset val="1"/>
    </font>
    <font>
      <sz val="9"/>
      <name val="Arial"/>
      <family val="0"/>
      <charset val="1"/>
    </font>
    <font>
      <sz val="8"/>
      <color rgb="FF555555"/>
      <name val="Arial"/>
      <family val="0"/>
      <charset val="1"/>
    </font>
    <font>
      <b val="true"/>
      <sz val="9"/>
      <name val="Arial"/>
      <family val="0"/>
      <charset val="1"/>
    </font>
    <font>
      <sz val="8"/>
      <color rgb="FF7F8C8D"/>
      <name val="Arial"/>
      <family val="0"/>
      <charset val="1"/>
    </font>
    <font>
      <sz val="9"/>
      <color rgb="FFE74C3C"/>
      <name val="Arial"/>
      <family val="0"/>
      <charset val="1"/>
    </font>
    <font>
      <i val="true"/>
      <sz val="9"/>
      <color rgb="FF27AE6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E67E22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8"/>
      <color rgb="FF666666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2C3E50"/>
        <bgColor rgb="FF003366"/>
      </patternFill>
    </fill>
    <fill>
      <patternFill patternType="solid">
        <fgColor rgb="FFD5E8D4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C0392B"/>
        <bgColor rgb="FFE74C3C"/>
      </patternFill>
    </fill>
    <fill>
      <patternFill patternType="solid">
        <fgColor rgb="FF27AE60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4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8C8D"/>
      <rgbColor rgb="FF9999FF"/>
      <rgbColor rgb="FF993366"/>
      <rgbColor rgb="FFF2F2F2"/>
      <rgbColor rgb="FFCCFFFF"/>
      <rgbColor rgb="FF660066"/>
      <rgbColor rgb="FFE74C3C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5E8D4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67E22"/>
      <rgbColor rgb="FF666666"/>
      <rgbColor rgb="FF969696"/>
      <rgbColor rgb="FF003366"/>
      <rgbColor rgb="FF27AE60"/>
      <rgbColor rgb="FF003300"/>
      <rgbColor rgb="FF333300"/>
      <rgbColor rgb="FFC0392B"/>
      <rgbColor rgb="FF993366"/>
      <rgbColor rgb="FF555555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4"/>
    <col collapsed="false" customWidth="true" hidden="false" outlineLevel="0" max="3" min="3" style="0" width="42"/>
    <col collapsed="false" customWidth="true" hidden="false" outlineLevel="0" max="4" min="4" style="0" width="38"/>
    <col collapsed="false" customWidth="true" hidden="false" outlineLevel="0" max="5" min="5" style="0" width="5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8" min="8" style="0" width="36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15" hidden="false" customHeight="false" outlineLevel="0" collapsed="false">
      <c r="A5" s="4" t="s">
        <v>10</v>
      </c>
      <c r="B5" s="4"/>
      <c r="C5" s="4"/>
      <c r="D5" s="4"/>
      <c r="E5" s="4"/>
      <c r="F5" s="4"/>
      <c r="G5" s="4"/>
      <c r="H5" s="4"/>
    </row>
    <row r="6" customFormat="false" ht="19.4" hidden="false" customHeight="false" outlineLevel="0" collapsed="false">
      <c r="A6" s="5" t="n">
        <v>1</v>
      </c>
      <c r="B6" s="6" t="s">
        <v>11</v>
      </c>
      <c r="C6" s="6" t="s">
        <v>12</v>
      </c>
      <c r="D6" s="7" t="s">
        <v>13</v>
      </c>
      <c r="E6" s="5" t="n">
        <v>2</v>
      </c>
      <c r="F6" s="8" t="n">
        <v>5</v>
      </c>
      <c r="G6" s="9" t="n">
        <f aca="false">E6*F6</f>
        <v>10</v>
      </c>
      <c r="H6" s="10" t="s">
        <v>14</v>
      </c>
    </row>
    <row r="7" customFormat="false" ht="15" hidden="false" customHeight="false" outlineLevel="0" collapsed="false">
      <c r="A7" s="5" t="n">
        <v>2</v>
      </c>
      <c r="B7" s="6" t="s">
        <v>11</v>
      </c>
      <c r="C7" s="6" t="s">
        <v>15</v>
      </c>
      <c r="D7" s="7" t="s">
        <v>16</v>
      </c>
      <c r="E7" s="5" t="n">
        <v>2</v>
      </c>
      <c r="F7" s="8" t="n">
        <v>8</v>
      </c>
      <c r="G7" s="9" t="n">
        <f aca="false">E7*F7</f>
        <v>16</v>
      </c>
      <c r="H7" s="10" t="s">
        <v>17</v>
      </c>
    </row>
    <row r="8" customFormat="false" ht="15" hidden="false" customHeight="false" outlineLevel="0" collapsed="false">
      <c r="A8" s="5" t="n">
        <v>3</v>
      </c>
      <c r="B8" s="6" t="s">
        <v>11</v>
      </c>
      <c r="C8" s="6" t="s">
        <v>18</v>
      </c>
      <c r="D8" s="7" t="s">
        <v>19</v>
      </c>
      <c r="E8" s="5" t="n">
        <v>2</v>
      </c>
      <c r="F8" s="8" t="n">
        <v>2.5</v>
      </c>
      <c r="G8" s="9" t="n">
        <f aca="false">E8*F8</f>
        <v>5</v>
      </c>
      <c r="H8" s="10" t="s">
        <v>20</v>
      </c>
    </row>
    <row r="9" customFormat="false" ht="15" hidden="false" customHeight="false" outlineLevel="0" collapsed="false">
      <c r="A9" s="5" t="n">
        <v>4</v>
      </c>
      <c r="B9" s="6" t="s">
        <v>11</v>
      </c>
      <c r="C9" s="6" t="s">
        <v>21</v>
      </c>
      <c r="D9" s="7" t="s">
        <v>22</v>
      </c>
      <c r="E9" s="5" t="n">
        <v>2</v>
      </c>
      <c r="F9" s="8" t="n">
        <v>3.5</v>
      </c>
      <c r="G9" s="9" t="n">
        <f aca="false">E9*F9</f>
        <v>7</v>
      </c>
      <c r="H9" s="10" t="s">
        <v>20</v>
      </c>
    </row>
    <row r="10" customFormat="false" ht="15" hidden="false" customHeight="false" outlineLevel="0" collapsed="false">
      <c r="A10" s="5" t="n">
        <v>5</v>
      </c>
      <c r="B10" s="6" t="s">
        <v>11</v>
      </c>
      <c r="C10" s="6" t="s">
        <v>23</v>
      </c>
      <c r="D10" s="7" t="s">
        <v>24</v>
      </c>
      <c r="E10" s="5" t="n">
        <v>1</v>
      </c>
      <c r="F10" s="8" t="n">
        <v>2</v>
      </c>
      <c r="G10" s="9" t="n">
        <f aca="false">E10*F10</f>
        <v>2</v>
      </c>
      <c r="H10" s="10" t="s">
        <v>20</v>
      </c>
    </row>
    <row r="11" customFormat="false" ht="15" hidden="false" customHeight="false" outlineLevel="0" collapsed="false">
      <c r="A11" s="5" t="n">
        <v>6</v>
      </c>
      <c r="B11" s="6" t="s">
        <v>11</v>
      </c>
      <c r="C11" s="6" t="s">
        <v>25</v>
      </c>
      <c r="D11" s="7" t="s">
        <v>26</v>
      </c>
      <c r="E11" s="5" t="n">
        <v>2</v>
      </c>
      <c r="F11" s="8" t="n">
        <v>3</v>
      </c>
      <c r="G11" s="9" t="n">
        <f aca="false">E11*F11</f>
        <v>6</v>
      </c>
      <c r="H11" s="10" t="s">
        <v>27</v>
      </c>
    </row>
    <row r="12" customFormat="false" ht="15" hidden="false" customHeight="false" outlineLevel="0" collapsed="false">
      <c r="A12" s="5" t="n">
        <v>7</v>
      </c>
      <c r="B12" s="6" t="s">
        <v>11</v>
      </c>
      <c r="C12" s="6" t="s">
        <v>28</v>
      </c>
      <c r="D12" s="7" t="s">
        <v>29</v>
      </c>
      <c r="E12" s="5" t="n">
        <v>2</v>
      </c>
      <c r="F12" s="8" t="n">
        <v>0.3</v>
      </c>
      <c r="G12" s="9" t="n">
        <f aca="false">E12*F12</f>
        <v>0.6</v>
      </c>
      <c r="H12" s="10" t="s">
        <v>30</v>
      </c>
    </row>
    <row r="13" customFormat="false" ht="15" hidden="false" customHeight="false" outlineLevel="0" collapsed="false">
      <c r="A13" s="5" t="n">
        <v>8</v>
      </c>
      <c r="B13" s="6" t="s">
        <v>11</v>
      </c>
      <c r="C13" s="6" t="s">
        <v>31</v>
      </c>
      <c r="D13" s="7" t="s">
        <v>32</v>
      </c>
      <c r="E13" s="5" t="n">
        <v>6</v>
      </c>
      <c r="F13" s="8" t="n">
        <v>0.1</v>
      </c>
      <c r="G13" s="9" t="n">
        <f aca="false">E13*F13</f>
        <v>0.6</v>
      </c>
      <c r="H13" s="10" t="s">
        <v>33</v>
      </c>
    </row>
    <row r="14" customFormat="false" ht="15" hidden="false" customHeight="false" outlineLevel="0" collapsed="false">
      <c r="A14" s="5" t="n">
        <v>9</v>
      </c>
      <c r="B14" s="6" t="s">
        <v>11</v>
      </c>
      <c r="C14" s="6" t="s">
        <v>34</v>
      </c>
      <c r="D14" s="7" t="s">
        <v>35</v>
      </c>
      <c r="E14" s="5" t="n">
        <v>2</v>
      </c>
      <c r="F14" s="8" t="n">
        <v>0.1</v>
      </c>
      <c r="G14" s="9" t="n">
        <f aca="false">E14*F14</f>
        <v>0.2</v>
      </c>
      <c r="H14" s="10" t="s">
        <v>33</v>
      </c>
    </row>
    <row r="15" customFormat="false" ht="15" hidden="false" customHeight="false" outlineLevel="0" collapsed="false">
      <c r="A15" s="5" t="n">
        <v>10</v>
      </c>
      <c r="B15" s="6" t="s">
        <v>11</v>
      </c>
      <c r="C15" s="6" t="s">
        <v>36</v>
      </c>
      <c r="D15" s="7" t="s">
        <v>37</v>
      </c>
      <c r="E15" s="5" t="n">
        <v>4</v>
      </c>
      <c r="F15" s="8" t="n">
        <v>0.1</v>
      </c>
      <c r="G15" s="9" t="n">
        <f aca="false">E15*F15</f>
        <v>0.4</v>
      </c>
      <c r="H15" s="10" t="s">
        <v>33</v>
      </c>
    </row>
    <row r="16" customFormat="false" ht="15" hidden="false" customHeight="false" outlineLevel="0" collapsed="false">
      <c r="A16" s="5" t="n">
        <v>11</v>
      </c>
      <c r="B16" s="6" t="s">
        <v>11</v>
      </c>
      <c r="C16" s="6" t="s">
        <v>38</v>
      </c>
      <c r="D16" s="7" t="s">
        <v>39</v>
      </c>
      <c r="E16" s="5" t="n">
        <v>2</v>
      </c>
      <c r="F16" s="8" t="n">
        <v>0.2</v>
      </c>
      <c r="G16" s="9" t="n">
        <f aca="false">E16*F16</f>
        <v>0.4</v>
      </c>
      <c r="H16" s="10" t="s">
        <v>20</v>
      </c>
    </row>
    <row r="17" customFormat="false" ht="15" hidden="false" customHeight="false" outlineLevel="0" collapsed="false">
      <c r="A17" s="5" t="n">
        <v>12</v>
      </c>
      <c r="B17" s="6" t="s">
        <v>11</v>
      </c>
      <c r="C17" s="11" t="s">
        <v>40</v>
      </c>
      <c r="D17" s="7" t="s">
        <v>41</v>
      </c>
      <c r="E17" s="5" t="n">
        <v>1</v>
      </c>
      <c r="F17" s="8" t="n">
        <v>2</v>
      </c>
      <c r="G17" s="9" t="n">
        <f aca="false">E17*F17</f>
        <v>2</v>
      </c>
      <c r="H17" s="10" t="s">
        <v>20</v>
      </c>
    </row>
    <row r="18" customFormat="false" ht="15" hidden="false" customHeight="false" outlineLevel="0" collapsed="false">
      <c r="A18" s="12" t="s">
        <v>42</v>
      </c>
      <c r="B18" s="12"/>
      <c r="C18" s="12"/>
      <c r="D18" s="12"/>
      <c r="E18" s="12"/>
      <c r="F18" s="12"/>
      <c r="G18" s="13" t="n">
        <f aca="false">SUM(G6:G17)</f>
        <v>50.2</v>
      </c>
      <c r="H18" s="14"/>
    </row>
    <row r="19" customFormat="false" ht="15" hidden="false" customHeight="false" outlineLevel="0" collapsed="false">
      <c r="A19" s="4" t="s">
        <v>43</v>
      </c>
      <c r="B19" s="4"/>
      <c r="C19" s="4"/>
      <c r="D19" s="4"/>
      <c r="E19" s="4"/>
      <c r="F19" s="4"/>
      <c r="G19" s="4"/>
      <c r="H19" s="4"/>
    </row>
    <row r="20" customFormat="false" ht="15" hidden="false" customHeight="false" outlineLevel="0" collapsed="false">
      <c r="A20" s="5" t="n">
        <v>13</v>
      </c>
      <c r="B20" s="6" t="s">
        <v>44</v>
      </c>
      <c r="C20" s="6" t="s">
        <v>45</v>
      </c>
      <c r="D20" s="7" t="s">
        <v>46</v>
      </c>
      <c r="E20" s="5" t="n">
        <v>20</v>
      </c>
      <c r="F20" s="8" t="n">
        <v>0.8</v>
      </c>
      <c r="G20" s="9" t="n">
        <f aca="false">E20*F20</f>
        <v>16</v>
      </c>
      <c r="H20" s="10" t="s">
        <v>47</v>
      </c>
    </row>
    <row r="21" customFormat="false" ht="15" hidden="false" customHeight="false" outlineLevel="0" collapsed="false">
      <c r="A21" s="5" t="n">
        <v>14</v>
      </c>
      <c r="B21" s="6" t="s">
        <v>44</v>
      </c>
      <c r="C21" s="6" t="s">
        <v>48</v>
      </c>
      <c r="D21" s="7" t="s">
        <v>49</v>
      </c>
      <c r="E21" s="5" t="n">
        <v>2</v>
      </c>
      <c r="F21" s="8" t="n">
        <v>4.5</v>
      </c>
      <c r="G21" s="9" t="n">
        <f aca="false">E21*F21</f>
        <v>9</v>
      </c>
      <c r="H21" s="10" t="s">
        <v>20</v>
      </c>
    </row>
    <row r="22" customFormat="false" ht="15" hidden="false" customHeight="false" outlineLevel="0" collapsed="false">
      <c r="A22" s="5" t="n">
        <v>15</v>
      </c>
      <c r="B22" s="6" t="s">
        <v>44</v>
      </c>
      <c r="C22" s="6" t="s">
        <v>50</v>
      </c>
      <c r="D22" s="7" t="s">
        <v>51</v>
      </c>
      <c r="E22" s="5" t="n">
        <v>1</v>
      </c>
      <c r="F22" s="8" t="n">
        <v>2.5</v>
      </c>
      <c r="G22" s="9" t="n">
        <f aca="false">E22*F22</f>
        <v>2.5</v>
      </c>
      <c r="H22" s="10" t="s">
        <v>20</v>
      </c>
    </row>
    <row r="23" customFormat="false" ht="15" hidden="false" customHeight="false" outlineLevel="0" collapsed="false">
      <c r="A23" s="5" t="n">
        <v>16</v>
      </c>
      <c r="B23" s="6" t="s">
        <v>44</v>
      </c>
      <c r="C23" s="6" t="s">
        <v>52</v>
      </c>
      <c r="D23" s="7" t="s">
        <v>53</v>
      </c>
      <c r="E23" s="5" t="n">
        <v>1</v>
      </c>
      <c r="F23" s="8" t="n">
        <v>2.5</v>
      </c>
      <c r="G23" s="9" t="n">
        <f aca="false">E23*F23</f>
        <v>2.5</v>
      </c>
      <c r="H23" s="10" t="s">
        <v>20</v>
      </c>
    </row>
    <row r="24" customFormat="false" ht="15" hidden="false" customHeight="false" outlineLevel="0" collapsed="false">
      <c r="A24" s="5" t="n">
        <v>17</v>
      </c>
      <c r="B24" s="6" t="s">
        <v>44</v>
      </c>
      <c r="C24" s="6" t="s">
        <v>54</v>
      </c>
      <c r="D24" s="7" t="s">
        <v>55</v>
      </c>
      <c r="E24" s="5" t="n">
        <v>1</v>
      </c>
      <c r="F24" s="8" t="n">
        <v>6</v>
      </c>
      <c r="G24" s="9" t="n">
        <f aca="false">E24*F24</f>
        <v>6</v>
      </c>
      <c r="H24" s="10" t="s">
        <v>20</v>
      </c>
    </row>
    <row r="25" customFormat="false" ht="15" hidden="false" customHeight="false" outlineLevel="0" collapsed="false">
      <c r="A25" s="5" t="n">
        <v>18</v>
      </c>
      <c r="B25" s="6" t="s">
        <v>44</v>
      </c>
      <c r="C25" s="6" t="s">
        <v>56</v>
      </c>
      <c r="D25" s="7" t="s">
        <v>57</v>
      </c>
      <c r="E25" s="5" t="n">
        <v>1</v>
      </c>
      <c r="F25" s="8" t="n">
        <v>2</v>
      </c>
      <c r="G25" s="9" t="n">
        <f aca="false">E25*F25</f>
        <v>2</v>
      </c>
      <c r="H25" s="10" t="s">
        <v>20</v>
      </c>
    </row>
    <row r="26" customFormat="false" ht="15" hidden="false" customHeight="false" outlineLevel="0" collapsed="false">
      <c r="A26" s="12" t="s">
        <v>58</v>
      </c>
      <c r="B26" s="12"/>
      <c r="C26" s="12"/>
      <c r="D26" s="12"/>
      <c r="E26" s="12"/>
      <c r="F26" s="12"/>
      <c r="G26" s="13" t="n">
        <f aca="false">SUM(G20:G25)</f>
        <v>38</v>
      </c>
      <c r="H26" s="14"/>
    </row>
    <row r="27" customFormat="false" ht="15" hidden="false" customHeight="false" outlineLevel="0" collapsed="false">
      <c r="A27" s="4" t="s">
        <v>59</v>
      </c>
      <c r="B27" s="4"/>
      <c r="C27" s="4"/>
      <c r="D27" s="4"/>
      <c r="E27" s="4"/>
      <c r="F27" s="4"/>
      <c r="G27" s="4"/>
      <c r="H27" s="4"/>
    </row>
    <row r="28" customFormat="false" ht="15" hidden="false" customHeight="false" outlineLevel="0" collapsed="false">
      <c r="A28" s="5" t="n">
        <v>19</v>
      </c>
      <c r="B28" s="6" t="s">
        <v>60</v>
      </c>
      <c r="C28" s="15" t="s">
        <v>61</v>
      </c>
      <c r="D28" s="7" t="s">
        <v>62</v>
      </c>
      <c r="E28" s="5" t="n">
        <v>3</v>
      </c>
      <c r="F28" s="8" t="n">
        <v>0</v>
      </c>
      <c r="G28" s="9" t="n">
        <f aca="false">E28*F28</f>
        <v>0</v>
      </c>
      <c r="H28" s="10" t="s">
        <v>63</v>
      </c>
    </row>
    <row r="29" customFormat="false" ht="15" hidden="false" customHeight="false" outlineLevel="0" collapsed="false">
      <c r="A29" s="5" t="n">
        <v>20</v>
      </c>
      <c r="B29" s="6" t="s">
        <v>60</v>
      </c>
      <c r="C29" s="6" t="s">
        <v>64</v>
      </c>
      <c r="D29" s="7" t="s">
        <v>65</v>
      </c>
      <c r="E29" s="5" t="n">
        <v>2</v>
      </c>
      <c r="F29" s="8" t="n">
        <v>5</v>
      </c>
      <c r="G29" s="9" t="n">
        <f aca="false">E29*F29</f>
        <v>10</v>
      </c>
      <c r="H29" s="10" t="s">
        <v>20</v>
      </c>
    </row>
    <row r="30" customFormat="false" ht="15" hidden="false" customHeight="false" outlineLevel="0" collapsed="false">
      <c r="A30" s="5" t="n">
        <v>21</v>
      </c>
      <c r="B30" s="6" t="s">
        <v>60</v>
      </c>
      <c r="C30" s="6" t="s">
        <v>66</v>
      </c>
      <c r="D30" s="7" t="s">
        <v>67</v>
      </c>
      <c r="E30" s="5" t="n">
        <v>2</v>
      </c>
      <c r="F30" s="8" t="n">
        <v>1.5</v>
      </c>
      <c r="G30" s="9" t="n">
        <f aca="false">E30*F30</f>
        <v>3</v>
      </c>
      <c r="H30" s="10" t="s">
        <v>68</v>
      </c>
    </row>
    <row r="31" customFormat="false" ht="15" hidden="false" customHeight="false" outlineLevel="0" collapsed="false">
      <c r="A31" s="5" t="n">
        <v>22</v>
      </c>
      <c r="B31" s="6" t="s">
        <v>60</v>
      </c>
      <c r="C31" s="6" t="s">
        <v>69</v>
      </c>
      <c r="D31" s="7" t="s">
        <v>70</v>
      </c>
      <c r="E31" s="5" t="n">
        <v>1</v>
      </c>
      <c r="F31" s="8" t="n">
        <v>3</v>
      </c>
      <c r="G31" s="9" t="n">
        <f aca="false">E31*F31</f>
        <v>3</v>
      </c>
      <c r="H31" s="10" t="s">
        <v>68</v>
      </c>
    </row>
    <row r="32" customFormat="false" ht="15" hidden="false" customHeight="false" outlineLevel="0" collapsed="false">
      <c r="A32" s="5" t="n">
        <v>23</v>
      </c>
      <c r="B32" s="6" t="s">
        <v>60</v>
      </c>
      <c r="C32" s="6" t="s">
        <v>71</v>
      </c>
      <c r="D32" s="7" t="s">
        <v>72</v>
      </c>
      <c r="E32" s="5" t="n">
        <v>1</v>
      </c>
      <c r="F32" s="8" t="n">
        <v>3</v>
      </c>
      <c r="G32" s="9" t="n">
        <f aca="false">E32*F32</f>
        <v>3</v>
      </c>
      <c r="H32" s="10" t="s">
        <v>73</v>
      </c>
    </row>
    <row r="33" customFormat="false" ht="15" hidden="false" customHeight="false" outlineLevel="0" collapsed="false">
      <c r="A33" s="5" t="n">
        <v>24</v>
      </c>
      <c r="B33" s="6" t="s">
        <v>60</v>
      </c>
      <c r="C33" s="6" t="s">
        <v>74</v>
      </c>
      <c r="D33" s="7" t="s">
        <v>75</v>
      </c>
      <c r="E33" s="5" t="n">
        <v>2</v>
      </c>
      <c r="F33" s="8" t="n">
        <v>5</v>
      </c>
      <c r="G33" s="9" t="n">
        <f aca="false">E33*F33</f>
        <v>10</v>
      </c>
      <c r="H33" s="10" t="s">
        <v>20</v>
      </c>
    </row>
    <row r="34" customFormat="false" ht="15" hidden="false" customHeight="false" outlineLevel="0" collapsed="false">
      <c r="A34" s="5" t="n">
        <v>25</v>
      </c>
      <c r="B34" s="6" t="s">
        <v>60</v>
      </c>
      <c r="C34" s="6" t="s">
        <v>76</v>
      </c>
      <c r="D34" s="7" t="s">
        <v>77</v>
      </c>
      <c r="E34" s="5" t="n">
        <v>20</v>
      </c>
      <c r="F34" s="8" t="n">
        <v>0.5</v>
      </c>
      <c r="G34" s="9" t="n">
        <f aca="false">E34*F34</f>
        <v>10</v>
      </c>
      <c r="H34" s="10" t="s">
        <v>20</v>
      </c>
    </row>
    <row r="35" customFormat="false" ht="15" hidden="false" customHeight="false" outlineLevel="0" collapsed="false">
      <c r="A35" s="5" t="n">
        <v>26</v>
      </c>
      <c r="B35" s="6" t="s">
        <v>60</v>
      </c>
      <c r="C35" s="6" t="s">
        <v>78</v>
      </c>
      <c r="D35" s="7" t="s">
        <v>79</v>
      </c>
      <c r="E35" s="5" t="n">
        <v>20</v>
      </c>
      <c r="F35" s="8" t="n">
        <v>0.2</v>
      </c>
      <c r="G35" s="9" t="n">
        <f aca="false">E35*F35</f>
        <v>4</v>
      </c>
      <c r="H35" s="10" t="s">
        <v>80</v>
      </c>
    </row>
    <row r="36" customFormat="false" ht="15" hidden="false" customHeight="false" outlineLevel="0" collapsed="false">
      <c r="A36" s="5" t="n">
        <v>27</v>
      </c>
      <c r="B36" s="6" t="s">
        <v>60</v>
      </c>
      <c r="C36" s="6" t="s">
        <v>81</v>
      </c>
      <c r="D36" s="7" t="s">
        <v>82</v>
      </c>
      <c r="E36" s="5" t="n">
        <v>30</v>
      </c>
      <c r="F36" s="8" t="n">
        <v>0.1</v>
      </c>
      <c r="G36" s="9" t="n">
        <f aca="false">E36*F36</f>
        <v>3</v>
      </c>
      <c r="H36" s="10" t="s">
        <v>33</v>
      </c>
    </row>
    <row r="37" customFormat="false" ht="15" hidden="false" customHeight="false" outlineLevel="0" collapsed="false">
      <c r="A37" s="12" t="s">
        <v>83</v>
      </c>
      <c r="B37" s="12"/>
      <c r="C37" s="12"/>
      <c r="D37" s="12"/>
      <c r="E37" s="12"/>
      <c r="F37" s="12"/>
      <c r="G37" s="13" t="n">
        <f aca="false">SUM(G28:G36)</f>
        <v>46</v>
      </c>
      <c r="H37" s="14"/>
    </row>
    <row r="38" customFormat="false" ht="15" hidden="false" customHeight="false" outlineLevel="0" collapsed="false">
      <c r="A38" s="4" t="s">
        <v>84</v>
      </c>
      <c r="B38" s="4"/>
      <c r="C38" s="4"/>
      <c r="D38" s="4"/>
      <c r="E38" s="4"/>
      <c r="F38" s="4"/>
      <c r="G38" s="4"/>
      <c r="H38" s="4"/>
    </row>
    <row r="39" customFormat="false" ht="15" hidden="false" customHeight="false" outlineLevel="0" collapsed="false">
      <c r="A39" s="5" t="n">
        <v>28</v>
      </c>
      <c r="B39" s="6" t="s">
        <v>85</v>
      </c>
      <c r="C39" s="6" t="s">
        <v>86</v>
      </c>
      <c r="D39" s="7" t="s">
        <v>87</v>
      </c>
      <c r="E39" s="5" t="n">
        <v>10</v>
      </c>
      <c r="F39" s="8" t="n">
        <v>0.5</v>
      </c>
      <c r="G39" s="9" t="n">
        <f aca="false">E39*F39</f>
        <v>5</v>
      </c>
      <c r="H39" s="10" t="s">
        <v>68</v>
      </c>
    </row>
    <row r="40" customFormat="false" ht="15" hidden="false" customHeight="false" outlineLevel="0" collapsed="false">
      <c r="A40" s="5" t="n">
        <v>29</v>
      </c>
      <c r="B40" s="6" t="s">
        <v>85</v>
      </c>
      <c r="C40" s="6" t="s">
        <v>88</v>
      </c>
      <c r="D40" s="7" t="s">
        <v>89</v>
      </c>
      <c r="E40" s="5" t="n">
        <v>10</v>
      </c>
      <c r="F40" s="8" t="n">
        <v>0.6</v>
      </c>
      <c r="G40" s="9" t="n">
        <f aca="false">E40*F40</f>
        <v>6</v>
      </c>
      <c r="H40" s="10" t="s">
        <v>68</v>
      </c>
    </row>
    <row r="41" customFormat="false" ht="15" hidden="false" customHeight="false" outlineLevel="0" collapsed="false">
      <c r="A41" s="5" t="n">
        <v>30</v>
      </c>
      <c r="B41" s="6" t="s">
        <v>85</v>
      </c>
      <c r="C41" s="6" t="s">
        <v>90</v>
      </c>
      <c r="D41" s="7" t="s">
        <v>91</v>
      </c>
      <c r="E41" s="5" t="n">
        <v>5</v>
      </c>
      <c r="F41" s="8" t="n">
        <v>0.8</v>
      </c>
      <c r="G41" s="9" t="n">
        <f aca="false">E41*F41</f>
        <v>4</v>
      </c>
      <c r="H41" s="10" t="s">
        <v>68</v>
      </c>
    </row>
    <row r="42" customFormat="false" ht="15" hidden="false" customHeight="false" outlineLevel="0" collapsed="false">
      <c r="A42" s="5" t="n">
        <v>31</v>
      </c>
      <c r="B42" s="6" t="s">
        <v>85</v>
      </c>
      <c r="C42" s="6" t="s">
        <v>92</v>
      </c>
      <c r="D42" s="7" t="s">
        <v>93</v>
      </c>
      <c r="E42" s="5" t="n">
        <v>1</v>
      </c>
      <c r="F42" s="8" t="n">
        <v>4</v>
      </c>
      <c r="G42" s="9" t="n">
        <f aca="false">E42*F42</f>
        <v>4</v>
      </c>
      <c r="H42" s="10" t="s">
        <v>20</v>
      </c>
    </row>
    <row r="43" customFormat="false" ht="15" hidden="false" customHeight="false" outlineLevel="0" collapsed="false">
      <c r="A43" s="5" t="n">
        <v>32</v>
      </c>
      <c r="B43" s="6" t="s">
        <v>85</v>
      </c>
      <c r="C43" s="6" t="s">
        <v>94</v>
      </c>
      <c r="D43" s="7" t="s">
        <v>95</v>
      </c>
      <c r="E43" s="5" t="n">
        <v>40</v>
      </c>
      <c r="F43" s="8" t="n">
        <v>0.05</v>
      </c>
      <c r="G43" s="9" t="n">
        <f aca="false">E43*F43</f>
        <v>2</v>
      </c>
      <c r="H43" s="10" t="s">
        <v>96</v>
      </c>
    </row>
    <row r="44" customFormat="false" ht="15" hidden="false" customHeight="false" outlineLevel="0" collapsed="false">
      <c r="A44" s="5" t="n">
        <v>33</v>
      </c>
      <c r="B44" s="6" t="s">
        <v>85</v>
      </c>
      <c r="C44" s="6" t="s">
        <v>97</v>
      </c>
      <c r="D44" s="7" t="s">
        <v>98</v>
      </c>
      <c r="E44" s="5" t="n">
        <v>10</v>
      </c>
      <c r="F44" s="8" t="n">
        <v>0.8</v>
      </c>
      <c r="G44" s="9" t="n">
        <f aca="false">E44*F44</f>
        <v>8</v>
      </c>
      <c r="H44" s="10" t="s">
        <v>30</v>
      </c>
    </row>
    <row r="45" customFormat="false" ht="15" hidden="false" customHeight="false" outlineLevel="0" collapsed="false">
      <c r="A45" s="5" t="n">
        <v>34</v>
      </c>
      <c r="B45" s="6" t="s">
        <v>85</v>
      </c>
      <c r="C45" s="6" t="s">
        <v>99</v>
      </c>
      <c r="D45" s="7" t="s">
        <v>100</v>
      </c>
      <c r="E45" s="5" t="n">
        <v>1</v>
      </c>
      <c r="F45" s="8" t="n">
        <v>3</v>
      </c>
      <c r="G45" s="9" t="n">
        <f aca="false">E45*F45</f>
        <v>3</v>
      </c>
      <c r="H45" s="10" t="s">
        <v>20</v>
      </c>
    </row>
    <row r="46" customFormat="false" ht="15" hidden="false" customHeight="false" outlineLevel="0" collapsed="false">
      <c r="A46" s="5" t="n">
        <v>35</v>
      </c>
      <c r="B46" s="6" t="s">
        <v>85</v>
      </c>
      <c r="C46" s="6" t="s">
        <v>101</v>
      </c>
      <c r="D46" s="7" t="s">
        <v>102</v>
      </c>
      <c r="E46" s="5" t="n">
        <v>1</v>
      </c>
      <c r="F46" s="8" t="n">
        <v>2</v>
      </c>
      <c r="G46" s="9" t="n">
        <f aca="false">E46*F46</f>
        <v>2</v>
      </c>
      <c r="H46" s="10" t="s">
        <v>103</v>
      </c>
    </row>
    <row r="47" customFormat="false" ht="15" hidden="false" customHeight="false" outlineLevel="0" collapsed="false">
      <c r="A47" s="12" t="s">
        <v>104</v>
      </c>
      <c r="B47" s="12"/>
      <c r="C47" s="12"/>
      <c r="D47" s="12"/>
      <c r="E47" s="12"/>
      <c r="F47" s="12"/>
      <c r="G47" s="13" t="n">
        <f aca="false">SUM(G39:G46)</f>
        <v>34</v>
      </c>
      <c r="H47" s="14"/>
    </row>
    <row r="48" customFormat="false" ht="15" hidden="false" customHeight="false" outlineLevel="0" collapsed="false">
      <c r="A48" s="4" t="s">
        <v>105</v>
      </c>
      <c r="B48" s="4"/>
      <c r="C48" s="4"/>
      <c r="D48" s="4"/>
      <c r="E48" s="4"/>
      <c r="F48" s="4"/>
      <c r="G48" s="4"/>
      <c r="H48" s="4"/>
    </row>
    <row r="49" customFormat="false" ht="15" hidden="false" customHeight="false" outlineLevel="0" collapsed="false">
      <c r="A49" s="5" t="n">
        <v>36</v>
      </c>
      <c r="B49" s="6" t="s">
        <v>106</v>
      </c>
      <c r="C49" s="6" t="s">
        <v>107</v>
      </c>
      <c r="D49" s="7" t="s">
        <v>108</v>
      </c>
      <c r="E49" s="5" t="n">
        <v>1</v>
      </c>
      <c r="F49" s="8" t="n">
        <v>8</v>
      </c>
      <c r="G49" s="9" t="n">
        <f aca="false">E49*F49</f>
        <v>8</v>
      </c>
      <c r="H49" s="10" t="s">
        <v>20</v>
      </c>
    </row>
    <row r="50" customFormat="false" ht="15" hidden="false" customHeight="false" outlineLevel="0" collapsed="false">
      <c r="A50" s="5" t="n">
        <v>37</v>
      </c>
      <c r="B50" s="6" t="s">
        <v>106</v>
      </c>
      <c r="C50" s="6" t="s">
        <v>109</v>
      </c>
      <c r="D50" s="7" t="s">
        <v>110</v>
      </c>
      <c r="E50" s="5" t="n">
        <v>1</v>
      </c>
      <c r="F50" s="8" t="n">
        <v>2.5</v>
      </c>
      <c r="G50" s="9" t="n">
        <f aca="false">E50*F50</f>
        <v>2.5</v>
      </c>
      <c r="H50" s="10" t="s">
        <v>20</v>
      </c>
    </row>
    <row r="51" customFormat="false" ht="15" hidden="false" customHeight="false" outlineLevel="0" collapsed="false">
      <c r="A51" s="5" t="n">
        <v>38</v>
      </c>
      <c r="B51" s="6" t="s">
        <v>106</v>
      </c>
      <c r="C51" s="6" t="s">
        <v>111</v>
      </c>
      <c r="D51" s="7" t="s">
        <v>112</v>
      </c>
      <c r="E51" s="5" t="n">
        <v>1</v>
      </c>
      <c r="F51" s="8" t="n">
        <v>3</v>
      </c>
      <c r="G51" s="9" t="n">
        <f aca="false">E51*F51</f>
        <v>3</v>
      </c>
      <c r="H51" s="10" t="s">
        <v>20</v>
      </c>
    </row>
    <row r="52" customFormat="false" ht="15" hidden="false" customHeight="false" outlineLevel="0" collapsed="false">
      <c r="A52" s="5" t="n">
        <v>39</v>
      </c>
      <c r="B52" s="6" t="s">
        <v>106</v>
      </c>
      <c r="C52" s="6" t="s">
        <v>113</v>
      </c>
      <c r="D52" s="7" t="s">
        <v>114</v>
      </c>
      <c r="E52" s="5" t="n">
        <v>1</v>
      </c>
      <c r="F52" s="8" t="n">
        <v>2.5</v>
      </c>
      <c r="G52" s="9" t="n">
        <f aca="false">E52*F52</f>
        <v>2.5</v>
      </c>
      <c r="H52" s="10" t="s">
        <v>20</v>
      </c>
    </row>
    <row r="53" customFormat="false" ht="15" hidden="false" customHeight="false" outlineLevel="0" collapsed="false">
      <c r="A53" s="12" t="s">
        <v>115</v>
      </c>
      <c r="B53" s="12"/>
      <c r="C53" s="12"/>
      <c r="D53" s="12"/>
      <c r="E53" s="12"/>
      <c r="F53" s="12"/>
      <c r="G53" s="13" t="n">
        <f aca="false">SUM(G49:G52)</f>
        <v>16</v>
      </c>
      <c r="H53" s="14"/>
    </row>
    <row r="54" customFormat="false" ht="15" hidden="false" customHeight="false" outlineLevel="0" collapsed="false">
      <c r="A54" s="4" t="s">
        <v>116</v>
      </c>
      <c r="B54" s="4"/>
      <c r="C54" s="4"/>
      <c r="D54" s="4"/>
      <c r="E54" s="4"/>
      <c r="F54" s="4"/>
      <c r="G54" s="4"/>
      <c r="H54" s="4"/>
    </row>
    <row r="55" customFormat="false" ht="15" hidden="false" customHeight="false" outlineLevel="0" collapsed="false">
      <c r="A55" s="5" t="n">
        <v>40</v>
      </c>
      <c r="B55" s="6" t="s">
        <v>117</v>
      </c>
      <c r="C55" s="6" t="s">
        <v>118</v>
      </c>
      <c r="D55" s="7" t="s">
        <v>119</v>
      </c>
      <c r="E55" s="5" t="n">
        <v>1</v>
      </c>
      <c r="F55" s="8" t="n">
        <v>12</v>
      </c>
      <c r="G55" s="9" t="n">
        <f aca="false">E55*F55</f>
        <v>12</v>
      </c>
      <c r="H55" s="10" t="s">
        <v>120</v>
      </c>
    </row>
    <row r="56" customFormat="false" ht="15" hidden="false" customHeight="false" outlineLevel="0" collapsed="false">
      <c r="A56" s="5" t="n">
        <v>41</v>
      </c>
      <c r="B56" s="6" t="s">
        <v>117</v>
      </c>
      <c r="C56" s="6" t="s">
        <v>121</v>
      </c>
      <c r="D56" s="7" t="s">
        <v>122</v>
      </c>
      <c r="E56" s="5" t="n">
        <v>8</v>
      </c>
      <c r="F56" s="8" t="n">
        <v>0.5</v>
      </c>
      <c r="G56" s="9" t="n">
        <f aca="false">E56*F56</f>
        <v>4</v>
      </c>
      <c r="H56" s="10" t="s">
        <v>20</v>
      </c>
    </row>
    <row r="57" customFormat="false" ht="15" hidden="false" customHeight="false" outlineLevel="0" collapsed="false">
      <c r="A57" s="5" t="n">
        <v>42</v>
      </c>
      <c r="B57" s="6" t="s">
        <v>117</v>
      </c>
      <c r="C57" s="6" t="s">
        <v>123</v>
      </c>
      <c r="D57" s="7" t="s">
        <v>124</v>
      </c>
      <c r="E57" s="5" t="n">
        <v>4</v>
      </c>
      <c r="F57" s="8" t="n">
        <v>0.6</v>
      </c>
      <c r="G57" s="9" t="n">
        <f aca="false">E57*F57</f>
        <v>2.4</v>
      </c>
      <c r="H57" s="10" t="s">
        <v>20</v>
      </c>
    </row>
    <row r="58" customFormat="false" ht="15" hidden="false" customHeight="false" outlineLevel="0" collapsed="false">
      <c r="A58" s="5" t="n">
        <v>43</v>
      </c>
      <c r="B58" s="6" t="s">
        <v>117</v>
      </c>
      <c r="C58" s="6" t="s">
        <v>125</v>
      </c>
      <c r="D58" s="7" t="s">
        <v>126</v>
      </c>
      <c r="E58" s="5" t="n">
        <v>2</v>
      </c>
      <c r="F58" s="8" t="n">
        <v>0.7</v>
      </c>
      <c r="G58" s="9" t="n">
        <f aca="false">E58*F58</f>
        <v>1.4</v>
      </c>
      <c r="H58" s="10" t="s">
        <v>20</v>
      </c>
    </row>
    <row r="59" customFormat="false" ht="15" hidden="false" customHeight="false" outlineLevel="0" collapsed="false">
      <c r="A59" s="12" t="s">
        <v>127</v>
      </c>
      <c r="B59" s="12"/>
      <c r="C59" s="12"/>
      <c r="D59" s="12"/>
      <c r="E59" s="12"/>
      <c r="F59" s="12"/>
      <c r="G59" s="13" t="n">
        <f aca="false">SUM(G55:G58)</f>
        <v>19.8</v>
      </c>
      <c r="H59" s="14"/>
    </row>
    <row r="61" customFormat="false" ht="15" hidden="false" customHeight="false" outlineLevel="0" collapsed="false">
      <c r="A61" s="16" t="s">
        <v>128</v>
      </c>
      <c r="B61" s="16"/>
      <c r="C61" s="16"/>
      <c r="D61" s="16"/>
      <c r="E61" s="16"/>
      <c r="F61" s="16"/>
      <c r="G61" s="17" t="n">
        <f aca="false">G18+G26+G37+G47+G53+G59</f>
        <v>204</v>
      </c>
      <c r="H61" s="18"/>
    </row>
    <row r="62" customFormat="false" ht="15" hidden="false" customHeight="false" outlineLevel="0" collapsed="false">
      <c r="A62" s="19" t="s">
        <v>129</v>
      </c>
      <c r="B62" s="19"/>
      <c r="C62" s="19"/>
      <c r="D62" s="19"/>
      <c r="E62" s="19"/>
      <c r="F62" s="19"/>
      <c r="G62" s="20" t="n">
        <f aca="false">G61*0.15</f>
        <v>30.6</v>
      </c>
    </row>
    <row r="63" customFormat="false" ht="16.15" hidden="false" customHeight="false" outlineLevel="0" collapsed="false">
      <c r="A63" s="21" t="s">
        <v>130</v>
      </c>
      <c r="B63" s="21"/>
      <c r="C63" s="21"/>
      <c r="D63" s="21"/>
      <c r="E63" s="21"/>
      <c r="F63" s="21"/>
      <c r="G63" s="22" t="n">
        <f aca="false">G61+G62</f>
        <v>234.6</v>
      </c>
      <c r="H63" s="23"/>
    </row>
    <row r="65" customFormat="false" ht="15" hidden="false" customHeight="false" outlineLevel="0" collapsed="false">
      <c r="A65" s="24" t="s">
        <v>131</v>
      </c>
    </row>
    <row r="66" customFormat="false" ht="15" hidden="false" customHeight="false" outlineLevel="0" collapsed="false">
      <c r="A66" s="25" t="s">
        <v>132</v>
      </c>
      <c r="B66" s="25"/>
      <c r="C66" s="25"/>
      <c r="D66" s="25"/>
      <c r="E66" s="25"/>
      <c r="F66" s="25"/>
      <c r="G66" s="25"/>
      <c r="H66" s="25"/>
    </row>
    <row r="67" customFormat="false" ht="15" hidden="false" customHeight="false" outlineLevel="0" collapsed="false">
      <c r="A67" s="25" t="s">
        <v>133</v>
      </c>
      <c r="B67" s="25"/>
      <c r="C67" s="25"/>
      <c r="D67" s="25"/>
      <c r="E67" s="25"/>
      <c r="F67" s="25"/>
      <c r="G67" s="25"/>
      <c r="H67" s="25"/>
    </row>
    <row r="68" customFormat="false" ht="15" hidden="false" customHeight="false" outlineLevel="0" collapsed="false">
      <c r="A68" s="25" t="s">
        <v>134</v>
      </c>
      <c r="B68" s="25"/>
      <c r="C68" s="25"/>
      <c r="D68" s="25"/>
      <c r="E68" s="25"/>
      <c r="F68" s="25"/>
      <c r="G68" s="25"/>
      <c r="H68" s="25"/>
    </row>
    <row r="69" customFormat="false" ht="15" hidden="false" customHeight="false" outlineLevel="0" collapsed="false">
      <c r="A69" s="25" t="s">
        <v>135</v>
      </c>
      <c r="B69" s="25"/>
      <c r="C69" s="25"/>
      <c r="D69" s="25"/>
      <c r="E69" s="25"/>
      <c r="F69" s="25"/>
      <c r="G69" s="25"/>
      <c r="H69" s="25"/>
    </row>
    <row r="70" customFormat="false" ht="15" hidden="false" customHeight="false" outlineLevel="0" collapsed="false">
      <c r="A70" s="25" t="s">
        <v>136</v>
      </c>
      <c r="B70" s="25"/>
      <c r="C70" s="25"/>
      <c r="D70" s="25"/>
      <c r="E70" s="25"/>
      <c r="F70" s="25"/>
      <c r="G70" s="25"/>
      <c r="H70" s="25"/>
    </row>
  </sheetData>
  <mergeCells count="22">
    <mergeCell ref="A1:H1"/>
    <mergeCell ref="A2:H2"/>
    <mergeCell ref="A5:H5"/>
    <mergeCell ref="A18:F18"/>
    <mergeCell ref="A19:H19"/>
    <mergeCell ref="A26:F26"/>
    <mergeCell ref="A27:H27"/>
    <mergeCell ref="A37:F37"/>
    <mergeCell ref="A38:H38"/>
    <mergeCell ref="A47:F47"/>
    <mergeCell ref="A48:H48"/>
    <mergeCell ref="A53:F53"/>
    <mergeCell ref="A54:H54"/>
    <mergeCell ref="A59:F59"/>
    <mergeCell ref="A61:F61"/>
    <mergeCell ref="A62:F62"/>
    <mergeCell ref="A63:F63"/>
    <mergeCell ref="A66:H66"/>
    <mergeCell ref="A67:H67"/>
    <mergeCell ref="A68:H68"/>
    <mergeCell ref="A69:H69"/>
    <mergeCell ref="A70:H7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2026-04-04T15:24:33Z</dcterms:created>
  <dc:creator>openpyxl</dc:creator>
  <dc:description/>
  <dc:language>en-US</dc:language>
  <cp:lastModifiedBy/>
  <dcterms:modified xsi:type="dcterms:W3CDTF">2026-04-04T15:24:33Z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